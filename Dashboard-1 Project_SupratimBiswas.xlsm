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hidePivotFieldList="1"/>
  <mc:AlternateContent xmlns:mc="http://schemas.openxmlformats.org/markup-compatibility/2006">
    <mc:Choice Requires="x15">
      <x15ac:absPath xmlns:x15ac="http://schemas.microsoft.com/office/spreadsheetml/2010/11/ac" url="C:\Users\USER\Desktop\"/>
    </mc:Choice>
  </mc:AlternateContent>
  <xr:revisionPtr revIDLastSave="0" documentId="13_ncr:1_{CA945224-9623-48E1-AC76-C0D31FC081F6}" xr6:coauthVersionLast="45" xr6:coauthVersionMax="45" xr10:uidLastSave="{00000000-0000-0000-0000-000000000000}"/>
  <bookViews>
    <workbookView xWindow="-120" yWindow="-120" windowWidth="29040" windowHeight="15990" tabRatio="775" xr2:uid="{00000000-000D-0000-FFFF-FFFF00000000}"/>
  </bookViews>
  <sheets>
    <sheet name="Dashboard" sheetId="6" r:id="rId1"/>
    <sheet name="RPT (4)" sheetId="28" r:id="rId2"/>
    <sheet name="RPT (3)" sheetId="27" r:id="rId3"/>
    <sheet name="RPT (2)" sheetId="26" r:id="rId4"/>
    <sheet name="RPT" sheetId="25" r:id="rId5"/>
    <sheet name="Data" sheetId="5" r:id="rId6"/>
    <sheet name="East" sheetId="1" r:id="rId7"/>
    <sheet name="West" sheetId="2" r:id="rId8"/>
    <sheet name="South" sheetId="3" r:id="rId9"/>
    <sheet name="North" sheetId="4" r:id="rId10"/>
    <sheet name="Info" sheetId="20" r:id="rId11"/>
  </sheets>
  <definedNames>
    <definedName name="_xlnm._FilterDatabase" localSheetId="9" hidden="1">North!$A$1:$H$11</definedName>
    <definedName name="_xlnm._FilterDatabase" localSheetId="8" hidden="1">South!$A$1:$H$11</definedName>
    <definedName name="_xlcn.WorksheetConnection_DashboardPune2.xlsxEast1" hidden="1">East!$A$1:$H$11</definedName>
    <definedName name="_xlcn.WorksheetConnection_DashboardPune2.xlsxWest1" hidden="1">West!$A$1:$H$11</definedName>
    <definedName name="Slicer_Area">#N/A</definedName>
    <definedName name="Slicer_Date">#N/A</definedName>
    <definedName name="Slicer_Name">#N/A</definedName>
    <definedName name="Slicer_Product">#N/A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Lst>
</workbook>
</file>

<file path=xl/calcChain.xml><?xml version="1.0" encoding="utf-8"?>
<calcChain xmlns="http://schemas.openxmlformats.org/spreadsheetml/2006/main">
  <c r="H82" i="5" l="1"/>
  <c r="H81" i="5"/>
  <c r="H80" i="5"/>
  <c r="H79" i="5"/>
  <c r="H78" i="5"/>
  <c r="H77" i="5"/>
  <c r="H76" i="5"/>
  <c r="H75" i="5"/>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H18" i="4"/>
  <c r="H19" i="4"/>
  <c r="H20" i="4"/>
  <c r="H21" i="4"/>
  <c r="H22" i="4"/>
  <c r="H17" i="3"/>
  <c r="H18" i="3"/>
  <c r="H19" i="3"/>
  <c r="H20" i="3"/>
  <c r="H21" i="3"/>
  <c r="H17" i="2"/>
  <c r="H18" i="2"/>
  <c r="H19" i="2"/>
  <c r="H20" i="2"/>
  <c r="H21" i="2"/>
  <c r="H18" i="1"/>
  <c r="H19" i="1"/>
  <c r="H20" i="1"/>
  <c r="H21" i="1"/>
  <c r="H17" i="1"/>
  <c r="H16" i="1" l="1"/>
  <c r="H15" i="1"/>
  <c r="H14" i="1"/>
  <c r="H13" i="1"/>
  <c r="H12" i="1"/>
  <c r="H16" i="2"/>
  <c r="H15" i="2"/>
  <c r="H14" i="2"/>
  <c r="H13" i="2"/>
  <c r="H12" i="2"/>
  <c r="H16" i="3"/>
  <c r="H15" i="3"/>
  <c r="H14" i="3"/>
  <c r="H13" i="3"/>
  <c r="H12" i="3"/>
  <c r="H17" i="4"/>
  <c r="H16" i="4"/>
  <c r="H15" i="4"/>
  <c r="H14" i="4"/>
  <c r="H13" i="4"/>
  <c r="H12" i="4"/>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<sst xmlns="http://schemas.openxmlformats.org/spreadsheetml/2006/main" count="595" uniqueCount="45">
  <si>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</si>
  <si>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</si>
  <si>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</si>
  <si>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</si>
  <si>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</si>
  <si>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</si>
  <si>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</si>
  <si>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</si>
  <si>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</si>
  <si>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</si>
  <si>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</si>
  <si>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</si>
  <si>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</si>
  <si>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</si>
  <si>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</si>
  <si>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</si>
  <si>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</si>
  <si>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</si>
  <si>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</si>
  <si>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</si>
  <si>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</si>
  <si>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</si>
  <si>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</si>
  <si>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</si>
  <si>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</si>
  <si>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</si>
  <si>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</si>
  <si>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</si>
  <si>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</si>
  <si>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</si>
  <si>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</si>
  <si>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</si>
  <si>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</si>
  <si>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</si>
  <si>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</si>
  <si>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</si>
  <si>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</si>
  <si>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</si>
  <si>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</si>
  <si>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</si>
  <si>
    <t>Row Labels</t>
  </si>
  <si>
    <t>Grand Total</t>
  </si>
  <si>
    <t>Sum of Total</t>
  </si>
  <si>
    <t>Sum of Qty</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</si>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</sst>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4" x14ac:knownFonts="1">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right"/>
    </xf>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(4)!PivotTable1</c:name>
    <c:fmtId val="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Date wise Product Total Sale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pivotFmt>
      <c:pivotFmt>
        <c:idx val="13"/>
      </c:pivotFmt>
      <c:pivotFmt>
        <c:idx val="14"/>
      </c:pivotFmt>
      <c:pivotFmt>
        <c:idx val="15"/>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1-Jan-2010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(4)'!$B$5:$B$11</c:f>
              <c:numCache>
                <c:formatCode>General</c:formatCode>
                <c:ptCount val="6"/>
                <c:pt idx="2">
                  <c:v>66350</c:v>
                </c:pt>
                <c:pt idx="3">
                  <c:v>91980</c:v>
                </c:pt>
                <c:pt idx="4">
                  <c:v>65870</c:v>
                </c:pt>
                <c:pt idx="5">
                  <c:v>87635</c:v>
                </c:pt>
              </c:numCache>
            </c:numRef>
          </c:val>
          <c:extLst>
            <c:ext xmlns:c16="http://schemas.microsoft.com/office/drawing/2014/chart" uri="{C3380CC4-5D6E-409C-BE32-E72D297353CC}">
              <c16:uniqueId val="{00000000-9289-4648-8B7E-78B67550348D}"/>
            </c:ext>
          </c:extLst>
        </c:ser>
        <c:ser>
          <c:idx val="1"/>
          <c:order val="1"/>
          <c:tx>
            <c:strRef>
              <c:f>'RPT (4)'!$C$3:$C$4</c:f>
              <c:strCache>
                <c:ptCount val="1"/>
                <c:pt idx="0">
                  <c:v>2-Jan-2010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(4)'!$C$5:$C$11</c:f>
              <c:numCache>
                <c:formatCode>General</c:formatCode>
                <c:ptCount val="6"/>
                <c:pt idx="0">
                  <c:v>128065</c:v>
                </c:pt>
                <c:pt idx="1">
                  <c:v>106962</c:v>
                </c:pt>
                <c:pt idx="3">
                  <c:v>79150</c:v>
                </c:pt>
                <c:pt idx="5">
                  <c:v>132154</c:v>
                </c:pt>
              </c:numCache>
            </c:numRef>
          </c:val>
          <c:extLst>
            <c:ext xmlns:c16="http://schemas.microsoft.com/office/drawing/2014/chart" uri="{C3380CC4-5D6E-409C-BE32-E72D297353CC}">
              <c16:uniqueId val="{00000001-EDE8-4179-A472-FA4815EAB531}"/>
            </c:ext>
          </c:extLst>
        </c:ser>
        <c:ser>
          <c:idx val="2"/>
          <c:order val="2"/>
          <c:tx>
            <c:strRef>
              <c:f>'RPT (4)'!$D$3:$D$4</c:f>
              <c:strCache>
                <c:ptCount val="1"/>
                <c:pt idx="0">
                  <c:v>3-Jan-2010</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(4)'!$D$5:$D$11</c:f>
              <c:numCache>
                <c:formatCode>General</c:formatCode>
                <c:ptCount val="6"/>
                <c:pt idx="0">
                  <c:v>113449</c:v>
                </c:pt>
                <c:pt idx="2">
                  <c:v>57780</c:v>
                </c:pt>
                <c:pt idx="3">
                  <c:v>117092</c:v>
                </c:pt>
                <c:pt idx="4">
                  <c:v>104735</c:v>
                </c:pt>
              </c:numCache>
            </c:numRef>
          </c:val>
          <c:extLst>
            <c:ext xmlns:c16="http://schemas.microsoft.com/office/drawing/2014/chart" uri="{C3380CC4-5D6E-409C-BE32-E72D297353CC}">
              <c16:uniqueId val="{00000002-EDE8-4179-A472-FA4815EAB531}"/>
            </c:ext>
          </c:extLst>
        </c:ser>
        <c:ser>
          <c:idx val="3"/>
          <c:order val="3"/>
          <c:tx>
            <c:strRef>
              <c:f>'RPT (4)'!$E$3:$E$4</c:f>
              <c:strCache>
                <c:ptCount val="1"/>
                <c:pt idx="0">
                  <c:v>4-Jan-2010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(4)'!$E$5:$E$11</c:f>
              <c:numCache>
                <c:formatCode>General</c:formatCode>
                <c:ptCount val="6"/>
                <c:pt idx="0">
                  <c:v>53818</c:v>
                </c:pt>
                <c:pt idx="2">
                  <c:v>89834</c:v>
                </c:pt>
                <c:pt idx="4">
                  <c:v>148242</c:v>
                </c:pt>
                <c:pt idx="5">
                  <c:v>72460</c:v>
                </c:pt>
              </c:numCache>
            </c:numRef>
          </c:val>
          <c:extLst>
            <c:ext xmlns:c16="http://schemas.microsoft.com/office/drawing/2014/chart" uri="{C3380CC4-5D6E-409C-BE32-E72D297353CC}">
              <c16:uniqueId val="{00000003-EDE8-4179-A472-FA4815EAB531}"/>
            </c:ext>
          </c:extLst>
        </c:ser>
        <c:ser>
          <c:idx val="4"/>
          <c:order val="4"/>
          <c:tx>
            <c:strRef>
              <c:f>'RPT (4)'!$F$3:$F$4</c:f>
              <c:strCache>
                <c:ptCount val="1"/>
                <c:pt idx="0">
                  <c:v>5-Jan-2010</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(4)'!$F$5:$F$11</c:f>
              <c:numCache>
                <c:formatCode>General</c:formatCode>
                <c:ptCount val="6"/>
                <c:pt idx="1">
                  <c:v>150136</c:v>
                </c:pt>
                <c:pt idx="2">
                  <c:v>114645</c:v>
                </c:pt>
                <c:pt idx="4">
                  <c:v>133178</c:v>
                </c:pt>
                <c:pt idx="5">
                  <c:v>111624</c:v>
                </c:pt>
              </c:numCache>
            </c:numRef>
          </c:val>
          <c:extLst>
            <c:ext xmlns:c16="http://schemas.microsoft.com/office/drawing/2014/chart" uri="{C3380CC4-5D6E-409C-BE32-E72D297353CC}">
              <c16:uniqueId val="{00000004-EDE8-4179-A472-FA4815EAB531}"/>
            </c:ext>
          </c:extLst>
        </c:ser>
        <c:ser>
          <c:idx val="5"/>
          <c:order val="5"/>
          <c:tx>
            <c:strRef>
              <c:f>'RPT (4)'!$G$3:$G$4</c:f>
              <c:strCache>
                <c:ptCount val="1"/>
                <c:pt idx="0">
                  <c:v>6-Jan-2010</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(4)'!$G$5:$G$11</c:f>
              <c:numCache>
                <c:formatCode>General</c:formatCode>
                <c:ptCount val="6"/>
                <c:pt idx="2">
                  <c:v>31760</c:v>
                </c:pt>
                <c:pt idx="3">
                  <c:v>102080</c:v>
                </c:pt>
                <c:pt idx="4">
                  <c:v>147168</c:v>
                </c:pt>
                <c:pt idx="5">
                  <c:v>83204</c:v>
                </c:pt>
              </c:numCache>
            </c:numRef>
          </c:val>
          <c:extLst>
            <c:ext xmlns:c16="http://schemas.microsoft.com/office/drawing/2014/chart" uri="{C3380CC4-5D6E-409C-BE32-E72D297353CC}">
              <c16:uniqueId val="{00000005-EDE8-4179-A472-FA4815EAB531}"/>
            </c:ext>
          </c:extLst>
        </c:ser>
        <c:ser>
          <c:idx val="6"/>
          <c:order val="6"/>
          <c:tx>
            <c:strRef>
              <c:f>'RPT (4)'!$H$3:$H$4</c:f>
              <c:strCache>
                <c:ptCount val="1"/>
                <c:pt idx="0">
                  <c:v>7-Jan-2010</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(4)'!$H$5:$H$11</c:f>
              <c:numCache>
                <c:formatCode>General</c:formatCode>
                <c:ptCount val="6"/>
                <c:pt idx="0">
                  <c:v>100608</c:v>
                </c:pt>
                <c:pt idx="1">
                  <c:v>75930</c:v>
                </c:pt>
                <c:pt idx="3">
                  <c:v>84690</c:v>
                </c:pt>
                <c:pt idx="5">
                  <c:v>147520</c:v>
                </c:pt>
              </c:numCache>
            </c:numRef>
          </c:val>
          <c:extLst>
            <c:ext xmlns:c16="http://schemas.microsoft.com/office/drawing/2014/chart" uri="{C3380CC4-5D6E-409C-BE32-E72D297353CC}">
              <c16:uniqueId val="{00000006-EDE8-4179-A472-FA4815EAB531}"/>
            </c:ext>
          </c:extLst>
        </c:ser>
        <c:ser>
          <c:idx val="7"/>
          <c:order val="7"/>
          <c:tx>
            <c:strRef>
              <c:f>'RPT (4)'!$I$3:$I$4</c:f>
              <c:strCache>
                <c:ptCount val="1"/>
                <c:pt idx="0">
                  <c:v>8-Jan-2010</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(4)'!$I$5:$I$11</c:f>
              <c:numCache>
                <c:formatCode>General</c:formatCode>
                <c:ptCount val="6"/>
                <c:pt idx="0">
                  <c:v>79956</c:v>
                </c:pt>
                <c:pt idx="2">
                  <c:v>19172</c:v>
                </c:pt>
                <c:pt idx="3">
                  <c:v>122616</c:v>
                </c:pt>
                <c:pt idx="4">
                  <c:v>113496</c:v>
                </c:pt>
              </c:numCache>
            </c:numRef>
          </c:val>
          <c:extLst>
            <c:ext xmlns:c16="http://schemas.microsoft.com/office/drawing/2014/chart" uri="{C3380CC4-5D6E-409C-BE32-E72D297353CC}">
              <c16:uniqueId val="{00000007-EDE8-4179-A472-FA4815EAB531}"/>
            </c:ext>
          </c:extLst>
        </c:ser>
        <c:ser>
          <c:idx val="8"/>
          <c:order val="8"/>
          <c:tx>
            <c:strRef>
              <c:f>'RPT (4)'!$J$3:$J$4</c:f>
              <c:strCache>
                <c:ptCount val="1"/>
                <c:pt idx="0">
                  <c:v>9-Jan-2010</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(4)'!$J$5:$J$11</c:f>
              <c:numCache>
                <c:formatCode>General</c:formatCode>
                <c:ptCount val="6"/>
                <c:pt idx="0">
                  <c:v>96168</c:v>
                </c:pt>
                <c:pt idx="2">
                  <c:v>22040</c:v>
                </c:pt>
                <c:pt idx="4">
                  <c:v>110572</c:v>
                </c:pt>
                <c:pt idx="5">
                  <c:v>61732</c:v>
                </c:pt>
              </c:numCache>
            </c:numRef>
          </c:val>
          <c:extLst>
            <c:ext xmlns:c16="http://schemas.microsoft.com/office/drawing/2014/chart" uri="{C3380CC4-5D6E-409C-BE32-E72D297353CC}">
              <c16:uniqueId val="{00000008-EDE8-4179-A472-FA4815EAB531}"/>
            </c:ext>
          </c:extLst>
        </c:ser>
        <c:ser>
          <c:idx val="9"/>
          <c:order val="9"/>
          <c:tx>
            <c:strRef>
              <c:f>'RPT (4)'!$K$3:$K$4</c:f>
              <c:strCache>
                <c:ptCount val="1"/>
                <c:pt idx="0">
                  <c:v>10-Jan-2010</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(4)'!$K$5:$K$11</c:f>
              <c:numCache>
                <c:formatCode>General</c:formatCode>
                <c:ptCount val="6"/>
                <c:pt idx="1">
                  <c:v>82404</c:v>
                </c:pt>
                <c:pt idx="2">
                  <c:v>69180</c:v>
                </c:pt>
                <c:pt idx="4">
                  <c:v>150588</c:v>
                </c:pt>
                <c:pt idx="5">
                  <c:v>33500</c:v>
                </c:pt>
              </c:numCache>
            </c:numRef>
          </c:val>
          <c:extLst>
            <c:ext xmlns:c16="http://schemas.microsoft.com/office/drawing/2014/chart" uri="{C3380CC4-5D6E-409C-BE32-E72D297353CC}">
              <c16:uniqueId val="{00000009-EDE8-4179-A472-FA4815EAB531}"/>
            </c:ext>
          </c:extLst>
        </c:ser>
        <c:dLbls>
          <c:showLegendKey val="0"/>
          <c:showVal val="0"/>
          <c:showCatName val="0"/>
          <c:showSerName val="0"/>
          <c:showPercent val="0"/>
          <c:showBubbleSize val="0"/>
        </c:dLbls>
        <c:gapWidth val="100"/>
        <c:overlap val="-24"/>
        <c:axId val="2027524192"/>
        <c:axId val="2072484752"/>
      </c:barChart>
      <c:catAx>
        <c:axId val="202752419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2484752"/>
        <c:crosses val="autoZero"/>
        <c:auto val="1"/>
        <c:lblAlgn val="ctr"/>
        <c:lblOffset val="100"/>
        <c:noMultiLvlLbl val="0"/>
      </c:catAx>
      <c:valAx>
        <c:axId val="2072484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7524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(2)!PivotTable1</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Product wise Total Sale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B08E-4013-8915-80F0849AE90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B08E-4013-8915-80F0849AE90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B08E-4013-8915-80F0849AE90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B08E-4013-8915-80F0849AE90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B08E-4013-8915-80F0849AE902}"/>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B08E-4013-8915-80F0849AE902}"/>
              </c:ext>
            </c:extLst>
          </c:dPt>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572064</c:v>
                </c:pt>
                <c:pt idx="1">
                  <c:v>415432</c:v>
                </c:pt>
                <c:pt idx="2">
                  <c:v>470761</c:v>
                </c:pt>
                <c:pt idx="3">
                  <c:v>597608</c:v>
                </c:pt>
                <c:pt idx="4">
                  <c:v>973849</c:v>
                </c:pt>
                <c:pt idx="5">
                  <c:v>729829</c:v>
                </c:pt>
              </c:numCache>
            </c:numRef>
          </c:val>
          <c:extLst>
            <c:ext xmlns:c16="http://schemas.microsoft.com/office/drawing/2014/chart" uri="{C3380CC4-5D6E-409C-BE32-E72D297353CC}">
              <c16:uniqueId val="{0000000C-B08E-4013-8915-80F0849AE902}"/>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Area wise Total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F1C-45FA-A0E2-AA60598505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F1C-45FA-A0E2-AA60598505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F1C-45FA-A0E2-AA60598505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F1C-45FA-A0E2-AA60598505E0}"/>
              </c:ext>
            </c:extLst>
          </c:dPt>
          <c:cat>
            <c:strRef>
              <c:f>RPT!$A$4:$A$8</c:f>
              <c:strCache>
                <c:ptCount val="4"/>
                <c:pt idx="0">
                  <c:v>East</c:v>
                </c:pt>
                <c:pt idx="1">
                  <c:v>North</c:v>
                </c:pt>
                <c:pt idx="2">
                  <c:v>South</c:v>
                </c:pt>
                <c:pt idx="3">
                  <c:v>West</c:v>
                </c:pt>
              </c:strCache>
            </c:strRef>
          </c:cat>
          <c:val>
            <c:numRef>
              <c:f>RPT!$B$4:$B$8</c:f>
              <c:numCache>
                <c:formatCode>General</c:formatCode>
                <c:ptCount val="4"/>
                <c:pt idx="0">
                  <c:v>1158493</c:v>
                </c:pt>
                <c:pt idx="1">
                  <c:v>799375</c:v>
                </c:pt>
                <c:pt idx="2">
                  <c:v>914954</c:v>
                </c:pt>
                <c:pt idx="3">
                  <c:v>886721</c:v>
                </c:pt>
              </c:numCache>
            </c:numRef>
          </c:val>
          <c:extLst>
            <c:ext xmlns:c16="http://schemas.microsoft.com/office/drawing/2014/chart" uri="{C3380CC4-5D6E-409C-BE32-E72D297353CC}">
              <c16:uniqueId val="{00000008-DF1C-45FA-A0E2-AA60598505E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Area wise Product</a:t>
            </a:r>
            <a:r>
              <a:rPr lang="en-IN" b="1" baseline="0"/>
              <a:t> Qty</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71</c:v>
                </c:pt>
                <c:pt idx="1">
                  <c:v>54</c:v>
                </c:pt>
                <c:pt idx="3">
                  <c:v>48</c:v>
                </c:pt>
              </c:numCache>
            </c:numRef>
          </c:val>
          <c:extLst>
            <c:ext xmlns:c16="http://schemas.microsoft.com/office/drawing/2014/chart" uri="{C3380CC4-5D6E-409C-BE32-E72D297353CC}">
              <c16:uniqueId val="{00000000-ECCA-41BC-915B-21DA9046B0CB}"/>
            </c:ext>
          </c:extLst>
        </c:ser>
        <c:ser>
          <c:idx val="1"/>
          <c:order val="1"/>
          <c:tx>
            <c:strRef>
              <c:f>'RPT (3)'!$C$3:$C$4</c:f>
              <c:strCache>
                <c:ptCount val="1"/>
                <c:pt idx="0">
                  <c:v>Hard Disc</c:v>
                </c:pt>
              </c:strCache>
            </c:strRef>
          </c:tx>
          <c:spPr>
            <a:solidFill>
              <a:schemeClr val="accent2"/>
            </a:solidFill>
            <a:ln>
              <a:noFill/>
            </a:ln>
            <a:effectLst/>
          </c:spPr>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73</c:v>
                </c:pt>
                <c:pt idx="2">
                  <c:v>60</c:v>
                </c:pt>
              </c:numCache>
            </c:numRef>
          </c:val>
          <c:extLst>
            <c:ext xmlns:c16="http://schemas.microsoft.com/office/drawing/2014/chart" uri="{C3380CC4-5D6E-409C-BE32-E72D297353CC}">
              <c16:uniqueId val="{00000001-ECCA-41BC-915B-21DA9046B0CB}"/>
            </c:ext>
          </c:extLst>
        </c:ser>
        <c:ser>
          <c:idx val="2"/>
          <c:order val="2"/>
          <c:tx>
            <c:strRef>
              <c:f>'RPT (3)'!$D$3:$D$4</c:f>
              <c:strCache>
                <c:ptCount val="1"/>
                <c:pt idx="0">
                  <c:v>Laptop</c:v>
                </c:pt>
              </c:strCache>
            </c:strRef>
          </c:tx>
          <c:spPr>
            <a:solidFill>
              <a:schemeClr val="accent3"/>
            </a:solidFill>
            <a:ln>
              <a:noFill/>
            </a:ln>
            <a:effectLst/>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81</c:v>
                </c:pt>
                <c:pt idx="3">
                  <c:v>45</c:v>
                </c:pt>
              </c:numCache>
            </c:numRef>
          </c:val>
          <c:extLst>
            <c:ext xmlns:c16="http://schemas.microsoft.com/office/drawing/2014/chart" uri="{C3380CC4-5D6E-409C-BE32-E72D297353CC}">
              <c16:uniqueId val="{00000002-ECCA-41BC-915B-21DA9046B0CB}"/>
            </c:ext>
          </c:extLst>
        </c:ser>
        <c:ser>
          <c:idx val="3"/>
          <c:order val="3"/>
          <c:tx>
            <c:strRef>
              <c:f>'RPT (3)'!$E$3:$E$4</c:f>
              <c:strCache>
                <c:ptCount val="1"/>
                <c:pt idx="0">
                  <c:v>Mobile</c:v>
                </c:pt>
              </c:strCache>
            </c:strRef>
          </c:tx>
          <c:spPr>
            <a:solidFill>
              <a:schemeClr val="accent4"/>
            </a:solidFill>
            <a:ln>
              <a:noFill/>
            </a:ln>
            <a:effectLst/>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58</c:v>
                </c:pt>
                <c:pt idx="2">
                  <c:v>55</c:v>
                </c:pt>
                <c:pt idx="3">
                  <c:v>57</c:v>
                </c:pt>
              </c:numCache>
            </c:numRef>
          </c:val>
          <c:extLst>
            <c:ext xmlns:c16="http://schemas.microsoft.com/office/drawing/2014/chart" uri="{C3380CC4-5D6E-409C-BE32-E72D297353CC}">
              <c16:uniqueId val="{00000003-ECCA-41BC-915B-21DA9046B0CB}"/>
            </c:ext>
          </c:extLst>
        </c:ser>
        <c:ser>
          <c:idx val="4"/>
          <c:order val="4"/>
          <c:tx>
            <c:strRef>
              <c:f>'RPT (3)'!$F$3:$F$4</c:f>
              <c:strCache>
                <c:ptCount val="1"/>
                <c:pt idx="0">
                  <c:v>Table</c:v>
                </c:pt>
              </c:strCache>
            </c:strRef>
          </c:tx>
          <c:spPr>
            <a:solidFill>
              <a:schemeClr val="accent5"/>
            </a:solidFill>
            <a:ln>
              <a:noFill/>
            </a:ln>
            <a:effectLst/>
          </c:spPr>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70</c:v>
                </c:pt>
                <c:pt idx="1">
                  <c:v>75</c:v>
                </c:pt>
                <c:pt idx="2">
                  <c:v>57</c:v>
                </c:pt>
                <c:pt idx="3">
                  <c:v>61</c:v>
                </c:pt>
              </c:numCache>
            </c:numRef>
          </c:val>
          <c:extLst>
            <c:ext xmlns:c16="http://schemas.microsoft.com/office/drawing/2014/chart" uri="{C3380CC4-5D6E-409C-BE32-E72D297353CC}">
              <c16:uniqueId val="{00000002-82A0-4BEC-BA56-21371B5F2006}"/>
            </c:ext>
          </c:extLst>
        </c:ser>
        <c:ser>
          <c:idx val="5"/>
          <c:order val="5"/>
          <c:tx>
            <c:strRef>
              <c:f>'RPT (3)'!$G$3:$G$4</c:f>
              <c:strCache>
                <c:ptCount val="1"/>
                <c:pt idx="0">
                  <c:v>TV</c:v>
                </c:pt>
              </c:strCache>
            </c:strRef>
          </c:tx>
          <c:spPr>
            <a:solidFill>
              <a:schemeClr val="accent6"/>
            </a:solidFill>
            <a:ln>
              <a:noFill/>
            </a:ln>
            <a:effectLst/>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70</c:v>
                </c:pt>
                <c:pt idx="2">
                  <c:v>79</c:v>
                </c:pt>
                <c:pt idx="3">
                  <c:v>55</c:v>
                </c:pt>
              </c:numCache>
            </c:numRef>
          </c:val>
          <c:extLst>
            <c:ext xmlns:c16="http://schemas.microsoft.com/office/drawing/2014/chart" uri="{C3380CC4-5D6E-409C-BE32-E72D297353CC}">
              <c16:uniqueId val="{00000003-82A0-4BEC-BA56-21371B5F2006}"/>
            </c:ext>
          </c:extLst>
        </c:ser>
        <c:dLbls>
          <c:showLegendKey val="0"/>
          <c:showVal val="0"/>
          <c:showCatName val="0"/>
          <c:showSerName val="0"/>
          <c:showPercent val="0"/>
          <c:showBubbleSize val="0"/>
        </c:dLbls>
        <c:gapWidth val="182"/>
        <c:axId val="2039711104"/>
        <c:axId val="2072478096"/>
      </c:barChart>
      <c:valAx>
        <c:axId val="2072478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711104"/>
        <c:crosses val="autoZero"/>
        <c:crossBetween val="between"/>
      </c:valAx>
      <c:catAx>
        <c:axId val="2039711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24780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(4)!PivotTable1</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Date wise Product Total Sale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pivotFmt>
      <c:pivotFmt>
        <c:idx val="13"/>
      </c:pivotFmt>
      <c:pivotFmt>
        <c:idx val="14"/>
      </c:pivotFmt>
      <c:pivotFmt>
        <c:idx val="15"/>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1-Jan-2010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(4)'!$B$5:$B$11</c:f>
              <c:numCache>
                <c:formatCode>General</c:formatCode>
                <c:ptCount val="6"/>
                <c:pt idx="2">
                  <c:v>66350</c:v>
                </c:pt>
                <c:pt idx="3">
                  <c:v>91980</c:v>
                </c:pt>
                <c:pt idx="4">
                  <c:v>65870</c:v>
                </c:pt>
                <c:pt idx="5">
                  <c:v>87635</c:v>
                </c:pt>
              </c:numCache>
            </c:numRef>
          </c:val>
          <c:extLst>
            <c:ext xmlns:c16="http://schemas.microsoft.com/office/drawing/2014/chart" uri="{C3380CC4-5D6E-409C-BE32-E72D297353CC}">
              <c16:uniqueId val="{00000008-635A-46B4-9763-251D900384E3}"/>
            </c:ext>
          </c:extLst>
        </c:ser>
        <c:ser>
          <c:idx val="1"/>
          <c:order val="1"/>
          <c:tx>
            <c:strRef>
              <c:f>'RPT (4)'!$C$3:$C$4</c:f>
              <c:strCache>
                <c:ptCount val="1"/>
                <c:pt idx="0">
                  <c:v>2-Jan-2010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(4)'!$C$5:$C$11</c:f>
              <c:numCache>
                <c:formatCode>General</c:formatCode>
                <c:ptCount val="6"/>
                <c:pt idx="0">
                  <c:v>128065</c:v>
                </c:pt>
                <c:pt idx="1">
                  <c:v>106962</c:v>
                </c:pt>
                <c:pt idx="3">
                  <c:v>79150</c:v>
                </c:pt>
                <c:pt idx="5">
                  <c:v>132154</c:v>
                </c:pt>
              </c:numCache>
            </c:numRef>
          </c:val>
          <c:extLst>
            <c:ext xmlns:c16="http://schemas.microsoft.com/office/drawing/2014/chart" uri="{C3380CC4-5D6E-409C-BE32-E72D297353CC}">
              <c16:uniqueId val="{00000000-7452-42B2-9AEF-0B358BEB73CC}"/>
            </c:ext>
          </c:extLst>
        </c:ser>
        <c:ser>
          <c:idx val="2"/>
          <c:order val="2"/>
          <c:tx>
            <c:strRef>
              <c:f>'RPT (4)'!$D$3:$D$4</c:f>
              <c:strCache>
                <c:ptCount val="1"/>
                <c:pt idx="0">
                  <c:v>3-Jan-2010</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(4)'!$D$5:$D$11</c:f>
              <c:numCache>
                <c:formatCode>General</c:formatCode>
                <c:ptCount val="6"/>
                <c:pt idx="0">
                  <c:v>113449</c:v>
                </c:pt>
                <c:pt idx="2">
                  <c:v>57780</c:v>
                </c:pt>
                <c:pt idx="3">
                  <c:v>117092</c:v>
                </c:pt>
                <c:pt idx="4">
                  <c:v>104735</c:v>
                </c:pt>
              </c:numCache>
            </c:numRef>
          </c:val>
          <c:extLst>
            <c:ext xmlns:c16="http://schemas.microsoft.com/office/drawing/2014/chart" uri="{C3380CC4-5D6E-409C-BE32-E72D297353CC}">
              <c16:uniqueId val="{00000001-7452-42B2-9AEF-0B358BEB73CC}"/>
            </c:ext>
          </c:extLst>
        </c:ser>
        <c:ser>
          <c:idx val="3"/>
          <c:order val="3"/>
          <c:tx>
            <c:strRef>
              <c:f>'RPT (4)'!$E$3:$E$4</c:f>
              <c:strCache>
                <c:ptCount val="1"/>
                <c:pt idx="0">
                  <c:v>4-Jan-2010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(4)'!$E$5:$E$11</c:f>
              <c:numCache>
                <c:formatCode>General</c:formatCode>
                <c:ptCount val="6"/>
                <c:pt idx="0">
                  <c:v>53818</c:v>
                </c:pt>
                <c:pt idx="2">
                  <c:v>89834</c:v>
                </c:pt>
                <c:pt idx="4">
                  <c:v>148242</c:v>
                </c:pt>
                <c:pt idx="5">
                  <c:v>72460</c:v>
                </c:pt>
              </c:numCache>
            </c:numRef>
          </c:val>
          <c:extLst>
            <c:ext xmlns:c16="http://schemas.microsoft.com/office/drawing/2014/chart" uri="{C3380CC4-5D6E-409C-BE32-E72D297353CC}">
              <c16:uniqueId val="{00000002-7452-42B2-9AEF-0B358BEB73CC}"/>
            </c:ext>
          </c:extLst>
        </c:ser>
        <c:ser>
          <c:idx val="4"/>
          <c:order val="4"/>
          <c:tx>
            <c:strRef>
              <c:f>'RPT (4)'!$F$3:$F$4</c:f>
              <c:strCache>
                <c:ptCount val="1"/>
                <c:pt idx="0">
                  <c:v>5-Jan-2010</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(4)'!$F$5:$F$11</c:f>
              <c:numCache>
                <c:formatCode>General</c:formatCode>
                <c:ptCount val="6"/>
                <c:pt idx="1">
                  <c:v>150136</c:v>
                </c:pt>
                <c:pt idx="2">
                  <c:v>114645</c:v>
                </c:pt>
                <c:pt idx="4">
                  <c:v>133178</c:v>
                </c:pt>
                <c:pt idx="5">
                  <c:v>111624</c:v>
                </c:pt>
              </c:numCache>
            </c:numRef>
          </c:val>
          <c:extLst>
            <c:ext xmlns:c16="http://schemas.microsoft.com/office/drawing/2014/chart" uri="{C3380CC4-5D6E-409C-BE32-E72D297353CC}">
              <c16:uniqueId val="{00000003-7452-42B2-9AEF-0B358BEB73CC}"/>
            </c:ext>
          </c:extLst>
        </c:ser>
        <c:ser>
          <c:idx val="5"/>
          <c:order val="5"/>
          <c:tx>
            <c:strRef>
              <c:f>'RPT (4)'!$G$3:$G$4</c:f>
              <c:strCache>
                <c:ptCount val="1"/>
                <c:pt idx="0">
                  <c:v>6-Jan-2010</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(4)'!$G$5:$G$11</c:f>
              <c:numCache>
                <c:formatCode>General</c:formatCode>
                <c:ptCount val="6"/>
                <c:pt idx="2">
                  <c:v>31760</c:v>
                </c:pt>
                <c:pt idx="3">
                  <c:v>102080</c:v>
                </c:pt>
                <c:pt idx="4">
                  <c:v>147168</c:v>
                </c:pt>
                <c:pt idx="5">
                  <c:v>83204</c:v>
                </c:pt>
              </c:numCache>
            </c:numRef>
          </c:val>
          <c:extLst>
            <c:ext xmlns:c16="http://schemas.microsoft.com/office/drawing/2014/chart" uri="{C3380CC4-5D6E-409C-BE32-E72D297353CC}">
              <c16:uniqueId val="{00000004-7452-42B2-9AEF-0B358BEB73CC}"/>
            </c:ext>
          </c:extLst>
        </c:ser>
        <c:ser>
          <c:idx val="6"/>
          <c:order val="6"/>
          <c:tx>
            <c:strRef>
              <c:f>'RPT (4)'!$H$3:$H$4</c:f>
              <c:strCache>
                <c:ptCount val="1"/>
                <c:pt idx="0">
                  <c:v>7-Jan-2010</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(4)'!$H$5:$H$11</c:f>
              <c:numCache>
                <c:formatCode>General</c:formatCode>
                <c:ptCount val="6"/>
                <c:pt idx="0">
                  <c:v>100608</c:v>
                </c:pt>
                <c:pt idx="1">
                  <c:v>75930</c:v>
                </c:pt>
                <c:pt idx="3">
                  <c:v>84690</c:v>
                </c:pt>
                <c:pt idx="5">
                  <c:v>147520</c:v>
                </c:pt>
              </c:numCache>
            </c:numRef>
          </c:val>
          <c:extLst>
            <c:ext xmlns:c16="http://schemas.microsoft.com/office/drawing/2014/chart" uri="{C3380CC4-5D6E-409C-BE32-E72D297353CC}">
              <c16:uniqueId val="{00000005-7452-42B2-9AEF-0B358BEB73CC}"/>
            </c:ext>
          </c:extLst>
        </c:ser>
        <c:ser>
          <c:idx val="7"/>
          <c:order val="7"/>
          <c:tx>
            <c:strRef>
              <c:f>'RPT (4)'!$I$3:$I$4</c:f>
              <c:strCache>
                <c:ptCount val="1"/>
                <c:pt idx="0">
                  <c:v>8-Jan-2010</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(4)'!$I$5:$I$11</c:f>
              <c:numCache>
                <c:formatCode>General</c:formatCode>
                <c:ptCount val="6"/>
                <c:pt idx="0">
                  <c:v>79956</c:v>
                </c:pt>
                <c:pt idx="2">
                  <c:v>19172</c:v>
                </c:pt>
                <c:pt idx="3">
                  <c:v>122616</c:v>
                </c:pt>
                <c:pt idx="4">
                  <c:v>113496</c:v>
                </c:pt>
              </c:numCache>
            </c:numRef>
          </c:val>
          <c:extLst>
            <c:ext xmlns:c16="http://schemas.microsoft.com/office/drawing/2014/chart" uri="{C3380CC4-5D6E-409C-BE32-E72D297353CC}">
              <c16:uniqueId val="{00000006-7452-42B2-9AEF-0B358BEB73CC}"/>
            </c:ext>
          </c:extLst>
        </c:ser>
        <c:ser>
          <c:idx val="8"/>
          <c:order val="8"/>
          <c:tx>
            <c:strRef>
              <c:f>'RPT (4)'!$J$3:$J$4</c:f>
              <c:strCache>
                <c:ptCount val="1"/>
                <c:pt idx="0">
                  <c:v>9-Jan-2010</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(4)'!$J$5:$J$11</c:f>
              <c:numCache>
                <c:formatCode>General</c:formatCode>
                <c:ptCount val="6"/>
                <c:pt idx="0">
                  <c:v>96168</c:v>
                </c:pt>
                <c:pt idx="2">
                  <c:v>22040</c:v>
                </c:pt>
                <c:pt idx="4">
                  <c:v>110572</c:v>
                </c:pt>
                <c:pt idx="5">
                  <c:v>61732</c:v>
                </c:pt>
              </c:numCache>
            </c:numRef>
          </c:val>
          <c:extLst>
            <c:ext xmlns:c16="http://schemas.microsoft.com/office/drawing/2014/chart" uri="{C3380CC4-5D6E-409C-BE32-E72D297353CC}">
              <c16:uniqueId val="{00000007-7452-42B2-9AEF-0B358BEB73CC}"/>
            </c:ext>
          </c:extLst>
        </c:ser>
        <c:ser>
          <c:idx val="9"/>
          <c:order val="9"/>
          <c:tx>
            <c:strRef>
              <c:f>'RPT (4)'!$K$3:$K$4</c:f>
              <c:strCache>
                <c:ptCount val="1"/>
                <c:pt idx="0">
                  <c:v>10-Jan-2010</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(4)'!$K$5:$K$11</c:f>
              <c:numCache>
                <c:formatCode>General</c:formatCode>
                <c:ptCount val="6"/>
                <c:pt idx="1">
                  <c:v>82404</c:v>
                </c:pt>
                <c:pt idx="2">
                  <c:v>69180</c:v>
                </c:pt>
                <c:pt idx="4">
                  <c:v>150588</c:v>
                </c:pt>
                <c:pt idx="5">
                  <c:v>33500</c:v>
                </c:pt>
              </c:numCache>
            </c:numRef>
          </c:val>
          <c:extLst>
            <c:ext xmlns:c16="http://schemas.microsoft.com/office/drawing/2014/chart" uri="{C3380CC4-5D6E-409C-BE32-E72D297353CC}">
              <c16:uniqueId val="{00000008-7452-42B2-9AEF-0B358BEB73CC}"/>
            </c:ext>
          </c:extLst>
        </c:ser>
        <c:dLbls>
          <c:showLegendKey val="0"/>
          <c:showVal val="0"/>
          <c:showCatName val="0"/>
          <c:showSerName val="0"/>
          <c:showPercent val="0"/>
          <c:showBubbleSize val="0"/>
        </c:dLbls>
        <c:gapWidth val="100"/>
        <c:overlap val="-24"/>
        <c:axId val="2027524192"/>
        <c:axId val="2072484752"/>
      </c:barChart>
      <c:catAx>
        <c:axId val="202752419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2484752"/>
        <c:crosses val="autoZero"/>
        <c:auto val="1"/>
        <c:lblAlgn val="ctr"/>
        <c:lblOffset val="100"/>
        <c:noMultiLvlLbl val="0"/>
      </c:catAx>
      <c:valAx>
        <c:axId val="2072484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7524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Area wise Product</a:t>
            </a:r>
            <a:r>
              <a:rPr lang="en-IN" b="1" baseline="0"/>
              <a:t> Qty</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71</c:v>
                </c:pt>
                <c:pt idx="1">
                  <c:v>54</c:v>
                </c:pt>
                <c:pt idx="3">
                  <c:v>48</c:v>
                </c:pt>
              </c:numCache>
            </c:numRef>
          </c:val>
          <c:extLst>
            <c:ext xmlns:c16="http://schemas.microsoft.com/office/drawing/2014/chart" uri="{C3380CC4-5D6E-409C-BE32-E72D297353CC}">
              <c16:uniqueId val="{0000000A-F941-4B8E-8AF1-396B66401562}"/>
            </c:ext>
          </c:extLst>
        </c:ser>
        <c:ser>
          <c:idx val="1"/>
          <c:order val="1"/>
          <c:tx>
            <c:strRef>
              <c:f>'RPT (3)'!$C$3:$C$4</c:f>
              <c:strCache>
                <c:ptCount val="1"/>
                <c:pt idx="0">
                  <c:v>Hard Disc</c:v>
                </c:pt>
              </c:strCache>
            </c:strRef>
          </c:tx>
          <c:spPr>
            <a:solidFill>
              <a:schemeClr val="accent2"/>
            </a:solidFill>
            <a:ln>
              <a:noFill/>
            </a:ln>
            <a:effectLst/>
          </c:spPr>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73</c:v>
                </c:pt>
                <c:pt idx="2">
                  <c:v>60</c:v>
                </c:pt>
              </c:numCache>
            </c:numRef>
          </c:val>
          <c:extLst>
            <c:ext xmlns:c16="http://schemas.microsoft.com/office/drawing/2014/chart" uri="{C3380CC4-5D6E-409C-BE32-E72D297353CC}">
              <c16:uniqueId val="{0000000B-F941-4B8E-8AF1-396B66401562}"/>
            </c:ext>
          </c:extLst>
        </c:ser>
        <c:ser>
          <c:idx val="2"/>
          <c:order val="2"/>
          <c:tx>
            <c:strRef>
              <c:f>'RPT (3)'!$D$3:$D$4</c:f>
              <c:strCache>
                <c:ptCount val="1"/>
                <c:pt idx="0">
                  <c:v>Laptop</c:v>
                </c:pt>
              </c:strCache>
            </c:strRef>
          </c:tx>
          <c:spPr>
            <a:solidFill>
              <a:schemeClr val="accent3"/>
            </a:solidFill>
            <a:ln>
              <a:noFill/>
            </a:ln>
            <a:effectLst/>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81</c:v>
                </c:pt>
                <c:pt idx="3">
                  <c:v>45</c:v>
                </c:pt>
              </c:numCache>
            </c:numRef>
          </c:val>
          <c:extLst>
            <c:ext xmlns:c16="http://schemas.microsoft.com/office/drawing/2014/chart" uri="{C3380CC4-5D6E-409C-BE32-E72D297353CC}">
              <c16:uniqueId val="{0000000C-F941-4B8E-8AF1-396B66401562}"/>
            </c:ext>
          </c:extLst>
        </c:ser>
        <c:ser>
          <c:idx val="3"/>
          <c:order val="3"/>
          <c:tx>
            <c:strRef>
              <c:f>'RPT (3)'!$E$3:$E$4</c:f>
              <c:strCache>
                <c:ptCount val="1"/>
                <c:pt idx="0">
                  <c:v>Mobile</c:v>
                </c:pt>
              </c:strCache>
            </c:strRef>
          </c:tx>
          <c:spPr>
            <a:solidFill>
              <a:schemeClr val="accent4"/>
            </a:solidFill>
            <a:ln>
              <a:noFill/>
            </a:ln>
            <a:effectLst/>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58</c:v>
                </c:pt>
                <c:pt idx="2">
                  <c:v>55</c:v>
                </c:pt>
                <c:pt idx="3">
                  <c:v>57</c:v>
                </c:pt>
              </c:numCache>
            </c:numRef>
          </c:val>
          <c:extLst>
            <c:ext xmlns:c16="http://schemas.microsoft.com/office/drawing/2014/chart" uri="{C3380CC4-5D6E-409C-BE32-E72D297353CC}">
              <c16:uniqueId val="{0000000D-F941-4B8E-8AF1-396B66401562}"/>
            </c:ext>
          </c:extLst>
        </c:ser>
        <c:ser>
          <c:idx val="4"/>
          <c:order val="4"/>
          <c:tx>
            <c:strRef>
              <c:f>'RPT (3)'!$F$3:$F$4</c:f>
              <c:strCache>
                <c:ptCount val="1"/>
                <c:pt idx="0">
                  <c:v>Table</c:v>
                </c:pt>
              </c:strCache>
            </c:strRef>
          </c:tx>
          <c:spPr>
            <a:solidFill>
              <a:schemeClr val="accent5"/>
            </a:solidFill>
            <a:ln>
              <a:noFill/>
            </a:ln>
            <a:effectLst/>
          </c:spPr>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70</c:v>
                </c:pt>
                <c:pt idx="1">
                  <c:v>75</c:v>
                </c:pt>
                <c:pt idx="2">
                  <c:v>57</c:v>
                </c:pt>
                <c:pt idx="3">
                  <c:v>61</c:v>
                </c:pt>
              </c:numCache>
            </c:numRef>
          </c:val>
          <c:extLst>
            <c:ext xmlns:c16="http://schemas.microsoft.com/office/drawing/2014/chart" uri="{C3380CC4-5D6E-409C-BE32-E72D297353CC}">
              <c16:uniqueId val="{00000001-79ED-4E21-8873-886D190B5C0A}"/>
            </c:ext>
          </c:extLst>
        </c:ser>
        <c:ser>
          <c:idx val="5"/>
          <c:order val="5"/>
          <c:tx>
            <c:strRef>
              <c:f>'RPT (3)'!$G$3:$G$4</c:f>
              <c:strCache>
                <c:ptCount val="1"/>
                <c:pt idx="0">
                  <c:v>TV</c:v>
                </c:pt>
              </c:strCache>
            </c:strRef>
          </c:tx>
          <c:spPr>
            <a:solidFill>
              <a:schemeClr val="accent6"/>
            </a:solidFill>
            <a:ln>
              <a:noFill/>
            </a:ln>
            <a:effectLst/>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70</c:v>
                </c:pt>
                <c:pt idx="2">
                  <c:v>79</c:v>
                </c:pt>
                <c:pt idx="3">
                  <c:v>55</c:v>
                </c:pt>
              </c:numCache>
            </c:numRef>
          </c:val>
          <c:extLst>
            <c:ext xmlns:c16="http://schemas.microsoft.com/office/drawing/2014/chart" uri="{C3380CC4-5D6E-409C-BE32-E72D297353CC}">
              <c16:uniqueId val="{00000002-79ED-4E21-8873-886D190B5C0A}"/>
            </c:ext>
          </c:extLst>
        </c:ser>
        <c:dLbls>
          <c:showLegendKey val="0"/>
          <c:showVal val="0"/>
          <c:showCatName val="0"/>
          <c:showSerName val="0"/>
          <c:showPercent val="0"/>
          <c:showBubbleSize val="0"/>
        </c:dLbls>
        <c:gapWidth val="182"/>
        <c:axId val="2039711104"/>
        <c:axId val="2072478096"/>
      </c:barChart>
      <c:valAx>
        <c:axId val="2072478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711104"/>
        <c:crosses val="autoZero"/>
        <c:crossBetween val="between"/>
      </c:valAx>
      <c:catAx>
        <c:axId val="2039711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24780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(2)!PivotTable1</c:name>
    <c:fmtId val="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Product wise Total Sale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74BB-4AA0-AAA0-1935FB40724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74BB-4AA0-AAA0-1935FB40724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74BB-4AA0-AAA0-1935FB40724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74BB-4AA0-AAA0-1935FB40724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A731-45AA-BEAF-8B73E7D8D3CD}"/>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A731-45AA-BEAF-8B73E7D8D3CD}"/>
              </c:ext>
            </c:extLst>
          </c:dPt>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572064</c:v>
                </c:pt>
                <c:pt idx="1">
                  <c:v>415432</c:v>
                </c:pt>
                <c:pt idx="2">
                  <c:v>470761</c:v>
                </c:pt>
                <c:pt idx="3">
                  <c:v>597608</c:v>
                </c:pt>
                <c:pt idx="4">
                  <c:v>973849</c:v>
                </c:pt>
                <c:pt idx="5">
                  <c:v>729829</c:v>
                </c:pt>
              </c:numCache>
            </c:numRef>
          </c:val>
          <c:extLst>
            <c:ext xmlns:c16="http://schemas.microsoft.com/office/drawing/2014/chart" uri="{C3380CC4-5D6E-409C-BE32-E72D297353CC}">
              <c16:uniqueId val="{00000008-74BB-4AA0-AAA0-1935FB40724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Area wise Total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C74-45B4-A67A-C782458E744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C74-45B4-A67A-C782458E744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C74-45B4-A67A-C782458E744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C74-45B4-A67A-C782458E7443}"/>
              </c:ext>
            </c:extLst>
          </c:dPt>
          <c:cat>
            <c:strRef>
              <c:f>RPT!$A$4:$A$8</c:f>
              <c:strCache>
                <c:ptCount val="4"/>
                <c:pt idx="0">
                  <c:v>East</c:v>
                </c:pt>
                <c:pt idx="1">
                  <c:v>North</c:v>
                </c:pt>
                <c:pt idx="2">
                  <c:v>South</c:v>
                </c:pt>
                <c:pt idx="3">
                  <c:v>West</c:v>
                </c:pt>
              </c:strCache>
            </c:strRef>
          </c:cat>
          <c:val>
            <c:numRef>
              <c:f>RPT!$B$4:$B$8</c:f>
              <c:numCache>
                <c:formatCode>General</c:formatCode>
                <c:ptCount val="4"/>
                <c:pt idx="0">
                  <c:v>1158493</c:v>
                </c:pt>
                <c:pt idx="1">
                  <c:v>799375</c:v>
                </c:pt>
                <c:pt idx="2">
                  <c:v>914954</c:v>
                </c:pt>
                <c:pt idx="3">
                  <c:v>886721</c:v>
                </c:pt>
              </c:numCache>
            </c:numRef>
          </c:val>
          <c:extLst>
            <c:ext xmlns:c16="http://schemas.microsoft.com/office/drawing/2014/chart" uri="{C3380CC4-5D6E-409C-BE32-E72D297353CC}">
              <c16:uniqueId val="{00000000-CFE9-4B4B-8884-C78893ADA7E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174923</xdr:colOff>
      <xdr:row>11</xdr:row>
      <xdr:rowOff>64500</xdr:rowOff>
    </xdr:to>
    <xdr:graphicFrame macro="">
      <xdr:nvGraphicFramePr>
        <xdr:cNvPr id="10" name="Chart 1">
          <a:extLst>
            <a:ext uri="{FF2B5EF4-FFF2-40B4-BE49-F238E27FC236}">
              <a16:creationId xmlns:a16="http://schemas.microsoft.com/office/drawing/2014/main" id="{884ED734-E249-4FC7-AAF2-30C6AAF0D0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175846</xdr:colOff>
      <xdr:row>0</xdr:row>
      <xdr:rowOff>0</xdr:rowOff>
    </xdr:from>
    <xdr:to>
      <xdr:col>16</xdr:col>
      <xdr:colOff>350769</xdr:colOff>
      <xdr:row>11</xdr:row>
      <xdr:rowOff>64500</xdr:rowOff>
    </xdr:to>
    <xdr:graphicFrame macro="">
      <xdr:nvGraphicFramePr>
        <xdr:cNvPr id="11" name="Chart 2">
          <a:extLst>
            <a:ext uri="{FF2B5EF4-FFF2-40B4-BE49-F238E27FC236}">
              <a16:creationId xmlns:a16="http://schemas.microsoft.com/office/drawing/2014/main" id="{8D2FB941-1E01-403A-8434-4C1CFDE364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11</xdr:row>
      <xdr:rowOff>65942</xdr:rowOff>
    </xdr:from>
    <xdr:to>
      <xdr:col>8</xdr:col>
      <xdr:colOff>174923</xdr:colOff>
      <xdr:row>22</xdr:row>
      <xdr:rowOff>130442</xdr:rowOff>
    </xdr:to>
    <xdr:graphicFrame macro="">
      <xdr:nvGraphicFramePr>
        <xdr:cNvPr id="12" name="Chart 3">
          <a:extLst>
            <a:ext uri="{FF2B5EF4-FFF2-40B4-BE49-F238E27FC236}">
              <a16:creationId xmlns:a16="http://schemas.microsoft.com/office/drawing/2014/main" id="{62487E0A-1772-43E1-BDC4-8C198B91FF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175845</xdr:colOff>
      <xdr:row>11</xdr:row>
      <xdr:rowOff>65942</xdr:rowOff>
    </xdr:from>
    <xdr:to>
      <xdr:col>16</xdr:col>
      <xdr:colOff>350768</xdr:colOff>
      <xdr:row>22</xdr:row>
      <xdr:rowOff>130442</xdr:rowOff>
    </xdr:to>
    <xdr:graphicFrame macro="">
      <xdr:nvGraphicFramePr>
        <xdr:cNvPr id="13" name="Chart 4">
          <a:extLst>
            <a:ext uri="{FF2B5EF4-FFF2-40B4-BE49-F238E27FC236}">
              <a16:creationId xmlns:a16="http://schemas.microsoft.com/office/drawing/2014/main" id="{7390209E-24C5-43BC-9C88-37B291311E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355354</xdr:colOff>
      <xdr:row>13</xdr:row>
      <xdr:rowOff>94518</xdr:rowOff>
    </xdr:from>
    <xdr:to>
      <xdr:col>22</xdr:col>
      <xdr:colOff>143078</xdr:colOff>
      <xdr:row>22</xdr:row>
      <xdr:rowOff>131885</xdr:rowOff>
    </xdr:to>
    <mc:AlternateContent xmlns:mc="http://schemas.openxmlformats.org/markup-compatibility/2006" xmlns:a14="http://schemas.microsoft.com/office/drawing/2010/main">
      <mc:Choice Requires="a14">
        <xdr:graphicFrame macro="">
          <xdr:nvGraphicFramePr>
            <xdr:cNvPr id="30" name="Date">
              <a:extLst>
                <a:ext uri="{FF2B5EF4-FFF2-40B4-BE49-F238E27FC236}">
                  <a16:creationId xmlns:a16="http://schemas.microsoft.com/office/drawing/2014/main" id="{55B8FCFF-9608-47EE-878C-93641C9A2938}"/>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0085508" y="2571018"/>
              <a:ext cx="3436532" cy="17518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356821</xdr:colOff>
      <xdr:row>3</xdr:row>
      <xdr:rowOff>123825</xdr:rowOff>
    </xdr:from>
    <xdr:to>
      <xdr:col>22</xdr:col>
      <xdr:colOff>144543</xdr:colOff>
      <xdr:row>8</xdr:row>
      <xdr:rowOff>95250</xdr:rowOff>
    </xdr:to>
    <mc:AlternateContent xmlns:mc="http://schemas.openxmlformats.org/markup-compatibility/2006" xmlns:a14="http://schemas.microsoft.com/office/drawing/2010/main">
      <mc:Choice Requires="a14">
        <xdr:graphicFrame macro="">
          <xdr:nvGraphicFramePr>
            <xdr:cNvPr id="31" name="Product">
              <a:extLst>
                <a:ext uri="{FF2B5EF4-FFF2-40B4-BE49-F238E27FC236}">
                  <a16:creationId xmlns:a16="http://schemas.microsoft.com/office/drawing/2014/main" id="{E086E224-6711-4870-804C-666F4E7666E4}"/>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0086975" y="695325"/>
              <a:ext cx="3436530" cy="9239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358286</xdr:colOff>
      <xdr:row>8</xdr:row>
      <xdr:rowOff>109172</xdr:rowOff>
    </xdr:from>
    <xdr:to>
      <xdr:col>22</xdr:col>
      <xdr:colOff>146008</xdr:colOff>
      <xdr:row>13</xdr:row>
      <xdr:rowOff>87923</xdr:rowOff>
    </xdr:to>
    <mc:AlternateContent xmlns:mc="http://schemas.openxmlformats.org/markup-compatibility/2006" xmlns:a14="http://schemas.microsoft.com/office/drawing/2010/main">
      <mc:Choice Requires="a14">
        <xdr:graphicFrame macro="">
          <xdr:nvGraphicFramePr>
            <xdr:cNvPr id="32" name="Name">
              <a:extLst>
                <a:ext uri="{FF2B5EF4-FFF2-40B4-BE49-F238E27FC236}">
                  <a16:creationId xmlns:a16="http://schemas.microsoft.com/office/drawing/2014/main" id="{AB2EFA2C-3275-4726-8B74-DC0EE34DFE23}"/>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0088440" y="1633172"/>
              <a:ext cx="3436530" cy="9312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359753</xdr:colOff>
      <xdr:row>0</xdr:row>
      <xdr:rowOff>13922</xdr:rowOff>
    </xdr:from>
    <xdr:to>
      <xdr:col>22</xdr:col>
      <xdr:colOff>147474</xdr:colOff>
      <xdr:row>3</xdr:row>
      <xdr:rowOff>109904</xdr:rowOff>
    </xdr:to>
    <mc:AlternateContent xmlns:mc="http://schemas.openxmlformats.org/markup-compatibility/2006" xmlns:a14="http://schemas.microsoft.com/office/drawing/2010/main">
      <mc:Choice Requires="a14">
        <xdr:graphicFrame macro="">
          <xdr:nvGraphicFramePr>
            <xdr:cNvPr id="33" name="Area">
              <a:extLst>
                <a:ext uri="{FF2B5EF4-FFF2-40B4-BE49-F238E27FC236}">
                  <a16:creationId xmlns:a16="http://schemas.microsoft.com/office/drawing/2014/main" id="{17EEA3CD-DF73-4330-9999-6FC82301F12A}"/>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10089907" y="13922"/>
              <a:ext cx="3436529" cy="6674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238125</xdr:colOff>
      <xdr:row>12</xdr:row>
      <xdr:rowOff>42862</xdr:rowOff>
    </xdr:from>
    <xdr:to>
      <xdr:col>14</xdr:col>
      <xdr:colOff>542925</xdr:colOff>
      <xdr:row>26</xdr:row>
      <xdr:rowOff>119062</xdr:rowOff>
    </xdr:to>
    <xdr:graphicFrame macro="">
      <xdr:nvGraphicFramePr>
        <xdr:cNvPr id="2" name="Chart 1">
          <a:extLst>
            <a:ext uri="{FF2B5EF4-FFF2-40B4-BE49-F238E27FC236}">
              <a16:creationId xmlns:a16="http://schemas.microsoft.com/office/drawing/2014/main" id="{CDA643AE-D5DE-457A-858E-A4CF76F15C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238125</xdr:colOff>
      <xdr:row>12</xdr:row>
      <xdr:rowOff>42862</xdr:rowOff>
    </xdr:from>
    <xdr:to>
      <xdr:col>14</xdr:col>
      <xdr:colOff>542925</xdr:colOff>
      <xdr:row>26</xdr:row>
      <xdr:rowOff>119062</xdr:rowOff>
    </xdr:to>
    <xdr:graphicFrame macro="">
      <xdr:nvGraphicFramePr>
        <xdr:cNvPr id="2" name="Chart 1">
          <a:extLst>
            <a:ext uri="{FF2B5EF4-FFF2-40B4-BE49-F238E27FC236}">
              <a16:creationId xmlns:a16="http://schemas.microsoft.com/office/drawing/2014/main" id="{6D64023E-0A82-4A06-9E01-444EDE272A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238125</xdr:colOff>
      <xdr:row>12</xdr:row>
      <xdr:rowOff>42862</xdr:rowOff>
    </xdr:from>
    <xdr:to>
      <xdr:col>14</xdr:col>
      <xdr:colOff>542925</xdr:colOff>
      <xdr:row>26</xdr:row>
      <xdr:rowOff>119062</xdr:rowOff>
    </xdr:to>
    <xdr:graphicFrame macro="">
      <xdr:nvGraphicFramePr>
        <xdr:cNvPr id="2" name="Chart 1">
          <a:extLst>
            <a:ext uri="{FF2B5EF4-FFF2-40B4-BE49-F238E27FC236}">
              <a16:creationId xmlns:a16="http://schemas.microsoft.com/office/drawing/2014/main" id="{1532715A-D0CC-45E1-B5AB-B35A96D92D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238125</xdr:colOff>
      <xdr:row>12</xdr:row>
      <xdr:rowOff>42862</xdr:rowOff>
    </xdr:from>
    <xdr:to>
      <xdr:col>14</xdr:col>
      <xdr:colOff>542925</xdr:colOff>
      <xdr:row>26</xdr:row>
      <xdr:rowOff>119062</xdr:rowOff>
    </xdr:to>
    <xdr:graphicFrame macro="">
      <xdr:nvGraphicFramePr>
        <xdr:cNvPr id="2" name="Chart 1">
          <a:extLst>
            <a:ext uri="{FF2B5EF4-FFF2-40B4-BE49-F238E27FC236}">
              <a16:creationId xmlns:a16="http://schemas.microsoft.com/office/drawing/2014/main" id="{E06348FE-78E8-4AE3-825E-3F457EACA3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pratim Biswas" refreshedDate="44123.74435497685" createdVersion="6" refreshedVersion="6" minRefreshableVersion="3" recordCount="81" xr:uid="{6BC01D99-B055-4124-A063-4945837BD77A}">
  <cacheSource type="worksheet">
    <worksheetSource name="Data"/>
  </cacheSource>
  <cacheFields count="8">
    <cacheField name="Sr. No." numFmtId="0">
      <sharedItems containsSemiMixedTypes="0" containsString="0" containsNumber="1" containsInteger="1" minValue="1" maxValue="81"/>
    </cacheField>
    <cacheField name="Date" numFmtId="164">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6">
        <s v="Mobile"/>
        <s v="TV"/>
        <s v="Computer"/>
        <s v="Table"/>
        <s v="Hard Disc"/>
        <s v="Laptop"/>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28"/>
    </cacheField>
    <cacheField name="Cost" numFmtId="0">
      <sharedItems containsSemiMixedTypes="0" containsString="0" containsNumber="1" containsInteger="1" minValue="2055" maxValue="5000"/>
    </cacheField>
    <cacheField name="Total" numFmtId="0">
      <sharedItems containsSemiMixedTypes="0" containsString="0" containsNumber="1" containsInteger="1" minValue="9586" maxValue="115362"/>
    </cacheField>
  </cacheFields>
  <extLst>
    <ext xmlns:x14="http://schemas.microsoft.com/office/spreadsheetml/2009/9/main" uri="{725AE2AE-9491-48be-B2B4-4EB974FC3084}">
      <x14:pivotCacheDefinition pivotCacheId="8794100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
  <r>
    <n v="1"/>
    <x v="0"/>
    <x v="0"/>
    <x v="0"/>
    <x v="0"/>
    <n v="16"/>
    <n v="2195"/>
    <n v="35120"/>
  </r>
  <r>
    <n v="2"/>
    <x v="1"/>
    <x v="1"/>
    <x v="1"/>
    <x v="0"/>
    <n v="16"/>
    <n v="3971"/>
    <n v="63536"/>
  </r>
  <r>
    <n v="3"/>
    <x v="2"/>
    <x v="2"/>
    <x v="2"/>
    <x v="0"/>
    <n v="11"/>
    <n v="4859"/>
    <n v="53449"/>
  </r>
  <r>
    <n v="4"/>
    <x v="3"/>
    <x v="3"/>
    <x v="3"/>
    <x v="0"/>
    <n v="16"/>
    <n v="2055"/>
    <n v="32880"/>
  </r>
  <r>
    <n v="5"/>
    <x v="4"/>
    <x v="4"/>
    <x v="4"/>
    <x v="0"/>
    <n v="17"/>
    <n v="3892"/>
    <n v="66164"/>
  </r>
  <r>
    <n v="6"/>
    <x v="5"/>
    <x v="0"/>
    <x v="0"/>
    <x v="0"/>
    <n v="11"/>
    <n v="4640"/>
    <n v="51040"/>
  </r>
  <r>
    <n v="7"/>
    <x v="6"/>
    <x v="1"/>
    <x v="1"/>
    <x v="0"/>
    <n v="16"/>
    <n v="4610"/>
    <n v="73760"/>
  </r>
  <r>
    <n v="8"/>
    <x v="7"/>
    <x v="2"/>
    <x v="2"/>
    <x v="0"/>
    <n v="18"/>
    <n v="2221"/>
    <n v="39978"/>
  </r>
  <r>
    <n v="9"/>
    <x v="8"/>
    <x v="3"/>
    <x v="3"/>
    <x v="0"/>
    <n v="14"/>
    <n v="3949"/>
    <n v="55286"/>
  </r>
  <r>
    <n v="10"/>
    <x v="9"/>
    <x v="4"/>
    <x v="4"/>
    <x v="0"/>
    <n v="14"/>
    <n v="2943"/>
    <n v="41202"/>
  </r>
  <r>
    <n v="11"/>
    <x v="5"/>
    <x v="0"/>
    <x v="0"/>
    <x v="0"/>
    <n v="11"/>
    <n v="4640"/>
    <n v="51040"/>
  </r>
  <r>
    <n v="12"/>
    <x v="6"/>
    <x v="1"/>
    <x v="1"/>
    <x v="0"/>
    <n v="16"/>
    <n v="4610"/>
    <n v="73760"/>
  </r>
  <r>
    <n v="13"/>
    <x v="7"/>
    <x v="2"/>
    <x v="2"/>
    <x v="0"/>
    <n v="18"/>
    <n v="2221"/>
    <n v="39978"/>
  </r>
  <r>
    <n v="14"/>
    <x v="8"/>
    <x v="3"/>
    <x v="3"/>
    <x v="0"/>
    <n v="14"/>
    <n v="3949"/>
    <n v="55286"/>
  </r>
  <r>
    <n v="15"/>
    <x v="9"/>
    <x v="4"/>
    <x v="4"/>
    <x v="0"/>
    <n v="14"/>
    <n v="2943"/>
    <n v="41202"/>
  </r>
  <r>
    <n v="16"/>
    <x v="0"/>
    <x v="0"/>
    <x v="0"/>
    <x v="0"/>
    <n v="20"/>
    <n v="2843"/>
    <n v="56860"/>
  </r>
  <r>
    <n v="17"/>
    <x v="1"/>
    <x v="1"/>
    <x v="1"/>
    <x v="0"/>
    <n v="22"/>
    <n v="3119"/>
    <n v="68618"/>
  </r>
  <r>
    <n v="18"/>
    <x v="2"/>
    <x v="2"/>
    <x v="2"/>
    <x v="0"/>
    <n v="24"/>
    <n v="2500"/>
    <n v="60000"/>
  </r>
  <r>
    <n v="19"/>
    <x v="3"/>
    <x v="3"/>
    <x v="3"/>
    <x v="0"/>
    <n v="26"/>
    <n v="4437"/>
    <n v="115362"/>
  </r>
  <r>
    <n v="20"/>
    <x v="4"/>
    <x v="4"/>
    <x v="4"/>
    <x v="0"/>
    <n v="28"/>
    <n v="2999"/>
    <n v="83972"/>
  </r>
  <r>
    <n v="21"/>
    <x v="0"/>
    <x v="1"/>
    <x v="0"/>
    <x v="1"/>
    <n v="16"/>
    <n v="2856"/>
    <n v="45696"/>
  </r>
  <r>
    <n v="22"/>
    <x v="1"/>
    <x v="0"/>
    <x v="1"/>
    <x v="1"/>
    <n v="13"/>
    <n v="2722"/>
    <n v="35386"/>
  </r>
  <r>
    <n v="23"/>
    <x v="2"/>
    <x v="3"/>
    <x v="2"/>
    <x v="1"/>
    <n v="18"/>
    <n v="2900"/>
    <n v="52200"/>
  </r>
  <r>
    <n v="24"/>
    <x v="3"/>
    <x v="2"/>
    <x v="3"/>
    <x v="1"/>
    <n v="13"/>
    <n v="2236"/>
    <n v="29068"/>
  </r>
  <r>
    <n v="25"/>
    <x v="4"/>
    <x v="5"/>
    <x v="4"/>
    <x v="1"/>
    <n v="10"/>
    <n v="4569"/>
    <n v="45690"/>
  </r>
  <r>
    <n v="26"/>
    <x v="5"/>
    <x v="1"/>
    <x v="0"/>
    <x v="1"/>
    <n v="11"/>
    <n v="3782"/>
    <n v="41602"/>
  </r>
  <r>
    <n v="27"/>
    <x v="6"/>
    <x v="0"/>
    <x v="1"/>
    <x v="1"/>
    <n v="15"/>
    <n v="2823"/>
    <n v="42345"/>
  </r>
  <r>
    <n v="28"/>
    <x v="7"/>
    <x v="3"/>
    <x v="2"/>
    <x v="1"/>
    <n v="12"/>
    <n v="4729"/>
    <n v="56748"/>
  </r>
  <r>
    <n v="29"/>
    <x v="8"/>
    <x v="2"/>
    <x v="3"/>
    <x v="1"/>
    <n v="12"/>
    <n v="4007"/>
    <n v="48084"/>
  </r>
  <r>
    <n v="30"/>
    <x v="9"/>
    <x v="5"/>
    <x v="4"/>
    <x v="1"/>
    <n v="10"/>
    <n v="3459"/>
    <n v="34590"/>
  </r>
  <r>
    <n v="31"/>
    <x v="5"/>
    <x v="1"/>
    <x v="0"/>
    <x v="1"/>
    <n v="11"/>
    <n v="3782"/>
    <n v="41602"/>
  </r>
  <r>
    <n v="32"/>
    <x v="6"/>
    <x v="0"/>
    <x v="1"/>
    <x v="1"/>
    <n v="15"/>
    <n v="2823"/>
    <n v="42345"/>
  </r>
  <r>
    <n v="33"/>
    <x v="7"/>
    <x v="3"/>
    <x v="2"/>
    <x v="1"/>
    <n v="12"/>
    <n v="4729"/>
    <n v="56748"/>
  </r>
  <r>
    <n v="34"/>
    <x v="8"/>
    <x v="2"/>
    <x v="3"/>
    <x v="1"/>
    <n v="12"/>
    <n v="4007"/>
    <n v="48084"/>
  </r>
  <r>
    <n v="35"/>
    <x v="9"/>
    <x v="5"/>
    <x v="4"/>
    <x v="1"/>
    <n v="10"/>
    <n v="3459"/>
    <n v="34590"/>
  </r>
  <r>
    <n v="36"/>
    <x v="0"/>
    <x v="1"/>
    <x v="0"/>
    <x v="1"/>
    <n v="17"/>
    <n v="2467"/>
    <n v="41939"/>
  </r>
  <r>
    <n v="37"/>
    <x v="1"/>
    <x v="0"/>
    <x v="1"/>
    <x v="1"/>
    <n v="14"/>
    <n v="3126"/>
    <n v="43764"/>
  </r>
  <r>
    <n v="38"/>
    <x v="2"/>
    <x v="3"/>
    <x v="2"/>
    <x v="1"/>
    <n v="19"/>
    <n v="2765"/>
    <n v="52535"/>
  </r>
  <r>
    <n v="39"/>
    <x v="3"/>
    <x v="2"/>
    <x v="3"/>
    <x v="1"/>
    <n v="11"/>
    <n v="2250"/>
    <n v="24750"/>
  </r>
  <r>
    <n v="40"/>
    <x v="4"/>
    <x v="5"/>
    <x v="4"/>
    <x v="1"/>
    <n v="15"/>
    <n v="4597"/>
    <n v="68955"/>
  </r>
  <r>
    <n v="41"/>
    <x v="0"/>
    <x v="3"/>
    <x v="0"/>
    <x v="2"/>
    <n v="10"/>
    <n v="4057"/>
    <n v="40570"/>
  </r>
  <r>
    <n v="42"/>
    <x v="1"/>
    <x v="4"/>
    <x v="1"/>
    <x v="2"/>
    <n v="18"/>
    <n v="3809"/>
    <n v="68562"/>
  </r>
  <r>
    <n v="43"/>
    <x v="2"/>
    <x v="0"/>
    <x v="2"/>
    <x v="2"/>
    <n v="16"/>
    <n v="3987"/>
    <n v="63792"/>
  </r>
  <r>
    <n v="44"/>
    <x v="3"/>
    <x v="1"/>
    <x v="3"/>
    <x v="2"/>
    <n v="10"/>
    <n v="2346"/>
    <n v="23460"/>
  </r>
  <r>
    <n v="45"/>
    <x v="4"/>
    <x v="1"/>
    <x v="4"/>
    <x v="2"/>
    <n v="8"/>
    <n v="4953"/>
    <n v="39624"/>
  </r>
  <r>
    <n v="46"/>
    <x v="5"/>
    <x v="3"/>
    <x v="0"/>
    <x v="2"/>
    <n v="18"/>
    <n v="4088"/>
    <n v="73584"/>
  </r>
  <r>
    <n v="47"/>
    <x v="6"/>
    <x v="4"/>
    <x v="1"/>
    <x v="2"/>
    <n v="15"/>
    <n v="2531"/>
    <n v="37965"/>
  </r>
  <r>
    <n v="48"/>
    <x v="7"/>
    <x v="0"/>
    <x v="2"/>
    <x v="2"/>
    <n v="13"/>
    <n v="4716"/>
    <n v="61308"/>
  </r>
  <r>
    <n v="49"/>
    <x v="8"/>
    <x v="1"/>
    <x v="3"/>
    <x v="2"/>
    <n v="11"/>
    <n v="2806"/>
    <n v="30866"/>
  </r>
  <r>
    <n v="50"/>
    <x v="9"/>
    <x v="1"/>
    <x v="4"/>
    <x v="2"/>
    <n v="5"/>
    <n v="3350"/>
    <n v="16750"/>
  </r>
  <r>
    <n v="51"/>
    <x v="5"/>
    <x v="3"/>
    <x v="0"/>
    <x v="2"/>
    <n v="18"/>
    <n v="4088"/>
    <n v="73584"/>
  </r>
  <r>
    <n v="52"/>
    <x v="6"/>
    <x v="4"/>
    <x v="1"/>
    <x v="2"/>
    <n v="15"/>
    <n v="2531"/>
    <n v="37965"/>
  </r>
  <r>
    <n v="53"/>
    <x v="7"/>
    <x v="0"/>
    <x v="2"/>
    <x v="2"/>
    <n v="13"/>
    <n v="4716"/>
    <n v="61308"/>
  </r>
  <r>
    <n v="54"/>
    <x v="8"/>
    <x v="1"/>
    <x v="3"/>
    <x v="2"/>
    <n v="11"/>
    <n v="2806"/>
    <n v="30866"/>
  </r>
  <r>
    <n v="55"/>
    <x v="9"/>
    <x v="1"/>
    <x v="4"/>
    <x v="2"/>
    <n v="5"/>
    <n v="3350"/>
    <n v="16750"/>
  </r>
  <r>
    <n v="56"/>
    <x v="0"/>
    <x v="3"/>
    <x v="0"/>
    <x v="2"/>
    <n v="11"/>
    <n v="2300"/>
    <n v="25300"/>
  </r>
  <r>
    <n v="57"/>
    <x v="1"/>
    <x v="4"/>
    <x v="1"/>
    <x v="2"/>
    <n v="12"/>
    <n v="3200"/>
    <n v="38400"/>
  </r>
  <r>
    <n v="58"/>
    <x v="2"/>
    <x v="0"/>
    <x v="2"/>
    <x v="2"/>
    <n v="13"/>
    <n v="4100"/>
    <n v="53300"/>
  </r>
  <r>
    <n v="59"/>
    <x v="3"/>
    <x v="1"/>
    <x v="3"/>
    <x v="2"/>
    <n v="14"/>
    <n v="3500"/>
    <n v="49000"/>
  </r>
  <r>
    <n v="60"/>
    <x v="4"/>
    <x v="1"/>
    <x v="4"/>
    <x v="2"/>
    <n v="15"/>
    <n v="4800"/>
    <n v="72000"/>
  </r>
  <r>
    <n v="61"/>
    <x v="0"/>
    <x v="5"/>
    <x v="0"/>
    <x v="3"/>
    <n v="5"/>
    <n v="3270"/>
    <n v="16350"/>
  </r>
  <r>
    <n v="62"/>
    <x v="1"/>
    <x v="2"/>
    <x v="1"/>
    <x v="3"/>
    <n v="17"/>
    <n v="4245"/>
    <n v="72165"/>
  </r>
  <r>
    <n v="63"/>
    <x v="2"/>
    <x v="5"/>
    <x v="2"/>
    <x v="3"/>
    <n v="5"/>
    <n v="4864"/>
    <n v="24320"/>
  </r>
  <r>
    <n v="64"/>
    <x v="3"/>
    <x v="5"/>
    <x v="3"/>
    <x v="3"/>
    <n v="6"/>
    <n v="2381"/>
    <n v="14286"/>
  </r>
  <r>
    <n v="65"/>
    <x v="4"/>
    <x v="3"/>
    <x v="4"/>
    <x v="3"/>
    <n v="10"/>
    <n v="3503"/>
    <n v="35030"/>
  </r>
  <r>
    <n v="66"/>
    <x v="5"/>
    <x v="5"/>
    <x v="0"/>
    <x v="3"/>
    <n v="5"/>
    <n v="3176"/>
    <n v="15880"/>
  </r>
  <r>
    <n v="67"/>
    <x v="6"/>
    <x v="2"/>
    <x v="1"/>
    <x v="3"/>
    <n v="12"/>
    <n v="4192"/>
    <n v="50304"/>
  </r>
  <r>
    <n v="68"/>
    <x v="7"/>
    <x v="5"/>
    <x v="2"/>
    <x v="3"/>
    <n v="2"/>
    <n v="4793"/>
    <n v="9586"/>
  </r>
  <r>
    <n v="69"/>
    <x v="8"/>
    <x v="5"/>
    <x v="3"/>
    <x v="3"/>
    <n v="5"/>
    <n v="2204"/>
    <n v="11020"/>
  </r>
  <r>
    <n v="70"/>
    <x v="9"/>
    <x v="3"/>
    <x v="4"/>
    <x v="3"/>
    <n v="18"/>
    <n v="4183"/>
    <n v="75294"/>
  </r>
  <r>
    <n v="71"/>
    <x v="4"/>
    <x v="3"/>
    <x v="4"/>
    <x v="3"/>
    <n v="10"/>
    <n v="3503"/>
    <n v="35030"/>
  </r>
  <r>
    <n v="72"/>
    <x v="5"/>
    <x v="5"/>
    <x v="0"/>
    <x v="3"/>
    <n v="5"/>
    <n v="3176"/>
    <n v="15880"/>
  </r>
  <r>
    <n v="73"/>
    <x v="6"/>
    <x v="2"/>
    <x v="1"/>
    <x v="3"/>
    <n v="12"/>
    <n v="4192"/>
    <n v="50304"/>
  </r>
  <r>
    <n v="74"/>
    <x v="7"/>
    <x v="5"/>
    <x v="2"/>
    <x v="3"/>
    <n v="2"/>
    <n v="4793"/>
    <n v="9586"/>
  </r>
  <r>
    <n v="75"/>
    <x v="8"/>
    <x v="5"/>
    <x v="3"/>
    <x v="3"/>
    <n v="5"/>
    <n v="2204"/>
    <n v="11020"/>
  </r>
  <r>
    <n v="76"/>
    <x v="9"/>
    <x v="3"/>
    <x v="4"/>
    <x v="3"/>
    <n v="18"/>
    <n v="4183"/>
    <n v="75294"/>
  </r>
  <r>
    <n v="77"/>
    <x v="0"/>
    <x v="5"/>
    <x v="0"/>
    <x v="3"/>
    <n v="10"/>
    <n v="5000"/>
    <n v="50000"/>
  </r>
  <r>
    <n v="78"/>
    <x v="1"/>
    <x v="2"/>
    <x v="1"/>
    <x v="3"/>
    <n v="13"/>
    <n v="4300"/>
    <n v="55900"/>
  </r>
  <r>
    <n v="79"/>
    <x v="2"/>
    <x v="5"/>
    <x v="2"/>
    <x v="3"/>
    <n v="14"/>
    <n v="2390"/>
    <n v="33460"/>
  </r>
  <r>
    <n v="80"/>
    <x v="3"/>
    <x v="5"/>
    <x v="3"/>
    <x v="3"/>
    <n v="17"/>
    <n v="4444"/>
    <n v="75548"/>
  </r>
  <r>
    <n v="81"/>
    <x v="4"/>
    <x v="3"/>
    <x v="4"/>
    <x v="3"/>
    <n v="19"/>
    <n v="3322"/>
    <n v="631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B25753F-5D8D-486C-8C5A-D782A478DCB8}"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L11" firstHeaderRow="1" firstDataRow="2" firstDataCol="1"/>
  <pivotFields count="8">
    <pivotField showAll="0"/>
    <pivotField axis="axisCol"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7">
    <i>
      <x/>
    </i>
    <i>
      <x v="1"/>
    </i>
    <i>
      <x v="2"/>
    </i>
    <i>
      <x v="3"/>
    </i>
    <i>
      <x v="4"/>
    </i>
    <i>
      <x v="5"/>
    </i>
    <i t="grand">
      <x/>
    </i>
  </rowItems>
  <colFields count="1">
    <field x="1"/>
  </colFields>
  <colItems count="11">
    <i>
      <x/>
    </i>
    <i>
      <x v="1"/>
    </i>
    <i>
      <x v="2"/>
    </i>
    <i>
      <x v="3"/>
    </i>
    <i>
      <x v="4"/>
    </i>
    <i>
      <x v="5"/>
    </i>
    <i>
      <x v="6"/>
    </i>
    <i>
      <x v="7"/>
    </i>
    <i>
      <x v="8"/>
    </i>
    <i>
      <x v="9"/>
    </i>
    <i t="grand">
      <x/>
    </i>
  </colItems>
  <dataFields count="1">
    <dataField name="Sum of Total" fld="7" baseField="0" baseItem="0"/>
  </dataFields>
  <chartFormats count="2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3" format="16" series="1">
      <pivotArea type="data" outline="0" fieldPosition="0">
        <references count="2">
          <reference field="4294967294" count="1" selected="0">
            <x v="0"/>
          </reference>
          <reference field="1" count="1" selected="0">
            <x v="1"/>
          </reference>
        </references>
      </pivotArea>
    </chartFormat>
    <chartFormat chart="3" format="17" series="1">
      <pivotArea type="data" outline="0" fieldPosition="0">
        <references count="2">
          <reference field="4294967294" count="1" selected="0">
            <x v="0"/>
          </reference>
          <reference field="1" count="1" selected="0">
            <x v="2"/>
          </reference>
        </references>
      </pivotArea>
    </chartFormat>
    <chartFormat chart="3" format="18" series="1">
      <pivotArea type="data" outline="0" fieldPosition="0">
        <references count="2">
          <reference field="4294967294" count="1" selected="0">
            <x v="0"/>
          </reference>
          <reference field="1" count="1" selected="0">
            <x v="3"/>
          </reference>
        </references>
      </pivotArea>
    </chartFormat>
    <chartFormat chart="3" format="19" series="1">
      <pivotArea type="data" outline="0" fieldPosition="0">
        <references count="2">
          <reference field="4294967294" count="1" selected="0">
            <x v="0"/>
          </reference>
          <reference field="1" count="1" selected="0">
            <x v="4"/>
          </reference>
        </references>
      </pivotArea>
    </chartFormat>
    <chartFormat chart="3" format="20" series="1">
      <pivotArea type="data" outline="0" fieldPosition="0">
        <references count="2">
          <reference field="4294967294" count="1" selected="0">
            <x v="0"/>
          </reference>
          <reference field="1" count="1" selected="0">
            <x v="5"/>
          </reference>
        </references>
      </pivotArea>
    </chartFormat>
    <chartFormat chart="3" format="21" series="1">
      <pivotArea type="data" outline="0" fieldPosition="0">
        <references count="2">
          <reference field="4294967294" count="1" selected="0">
            <x v="0"/>
          </reference>
          <reference field="1" count="1" selected="0">
            <x v="6"/>
          </reference>
        </references>
      </pivotArea>
    </chartFormat>
    <chartFormat chart="3" format="22" series="1">
      <pivotArea type="data" outline="0" fieldPosition="0">
        <references count="2">
          <reference field="4294967294" count="1" selected="0">
            <x v="0"/>
          </reference>
          <reference field="1" count="1" selected="0">
            <x v="7"/>
          </reference>
        </references>
      </pivotArea>
    </chartFormat>
    <chartFormat chart="3" format="23" series="1">
      <pivotArea type="data" outline="0" fieldPosition="0">
        <references count="2">
          <reference field="4294967294" count="1" selected="0">
            <x v="0"/>
          </reference>
          <reference field="1" count="1" selected="0">
            <x v="8"/>
          </reference>
        </references>
      </pivotArea>
    </chartFormat>
    <chartFormat chart="3" format="24" series="1">
      <pivotArea type="data" outline="0" fieldPosition="0">
        <references count="2">
          <reference field="4294967294" count="1" selected="0">
            <x v="0"/>
          </reference>
          <reference field="1" count="1" selected="0">
            <x v="9"/>
          </reference>
        </references>
      </pivotArea>
    </chartFormat>
    <chartFormat chart="3" format="25" series="1">
      <pivotArea type="data" outline="0" fieldPosition="0">
        <references count="2">
          <reference field="4294967294" count="1" selected="0">
            <x v="0"/>
          </reference>
          <reference field="1" count="1" selected="0">
            <x v="0"/>
          </reference>
        </references>
      </pivotArea>
    </chartFormat>
    <chartFormat chart="6" format="36" series="1">
      <pivotArea type="data" outline="0" fieldPosition="0">
        <references count="2">
          <reference field="4294967294" count="1" selected="0">
            <x v="0"/>
          </reference>
          <reference field="1" count="1" selected="0">
            <x v="0"/>
          </reference>
        </references>
      </pivotArea>
    </chartFormat>
    <chartFormat chart="6" format="37" series="1">
      <pivotArea type="data" outline="0" fieldPosition="0">
        <references count="2">
          <reference field="4294967294" count="1" selected="0">
            <x v="0"/>
          </reference>
          <reference field="1" count="1" selected="0">
            <x v="1"/>
          </reference>
        </references>
      </pivotArea>
    </chartFormat>
    <chartFormat chart="6" format="38" series="1">
      <pivotArea type="data" outline="0" fieldPosition="0">
        <references count="2">
          <reference field="4294967294" count="1" selected="0">
            <x v="0"/>
          </reference>
          <reference field="1" count="1" selected="0">
            <x v="2"/>
          </reference>
        </references>
      </pivotArea>
    </chartFormat>
    <chartFormat chart="6" format="39" series="1">
      <pivotArea type="data" outline="0" fieldPosition="0">
        <references count="2">
          <reference field="4294967294" count="1" selected="0">
            <x v="0"/>
          </reference>
          <reference field="1" count="1" selected="0">
            <x v="3"/>
          </reference>
        </references>
      </pivotArea>
    </chartFormat>
    <chartFormat chart="6" format="40" series="1">
      <pivotArea type="data" outline="0" fieldPosition="0">
        <references count="2">
          <reference field="4294967294" count="1" selected="0">
            <x v="0"/>
          </reference>
          <reference field="1" count="1" selected="0">
            <x v="4"/>
          </reference>
        </references>
      </pivotArea>
    </chartFormat>
    <chartFormat chart="6" format="41" series="1">
      <pivotArea type="data" outline="0" fieldPosition="0">
        <references count="2">
          <reference field="4294967294" count="1" selected="0">
            <x v="0"/>
          </reference>
          <reference field="1" count="1" selected="0">
            <x v="5"/>
          </reference>
        </references>
      </pivotArea>
    </chartFormat>
    <chartFormat chart="6" format="42" series="1">
      <pivotArea type="data" outline="0" fieldPosition="0">
        <references count="2">
          <reference field="4294967294" count="1" selected="0">
            <x v="0"/>
          </reference>
          <reference field="1" count="1" selected="0">
            <x v="6"/>
          </reference>
        </references>
      </pivotArea>
    </chartFormat>
    <chartFormat chart="6" format="43" series="1">
      <pivotArea type="data" outline="0" fieldPosition="0">
        <references count="2">
          <reference field="4294967294" count="1" selected="0">
            <x v="0"/>
          </reference>
          <reference field="1" count="1" selected="0">
            <x v="7"/>
          </reference>
        </references>
      </pivotArea>
    </chartFormat>
    <chartFormat chart="6" format="44" series="1">
      <pivotArea type="data" outline="0" fieldPosition="0">
        <references count="2">
          <reference field="4294967294" count="1" selected="0">
            <x v="0"/>
          </reference>
          <reference field="1" count="1" selected="0">
            <x v="8"/>
          </reference>
        </references>
      </pivotArea>
    </chartFormat>
    <chartFormat chart="6" format="4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4C06D2B-D7A4-48E4-9F27-11B71BE72996}"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H9" firstHeaderRow="1" firstDataRow="2" firstDataCol="1"/>
  <pivotFields count="8">
    <pivotField showAll="0"/>
    <pivotField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dataField="1" showAll="0"/>
    <pivotField showAll="0"/>
    <pivotField showAll="0"/>
  </pivotFields>
  <rowFields count="1">
    <field x="4"/>
  </rowFields>
  <rowItems count="5">
    <i>
      <x/>
    </i>
    <i>
      <x v="1"/>
    </i>
    <i>
      <x v="2"/>
    </i>
    <i>
      <x v="3"/>
    </i>
    <i t="grand">
      <x/>
    </i>
  </rowItems>
  <colFields count="1">
    <field x="2"/>
  </colFields>
  <colItems count="7">
    <i>
      <x/>
    </i>
    <i>
      <x v="1"/>
    </i>
    <i>
      <x v="2"/>
    </i>
    <i>
      <x v="3"/>
    </i>
    <i>
      <x v="4"/>
    </i>
    <i>
      <x v="5"/>
    </i>
    <i t="grand">
      <x/>
    </i>
  </colItems>
  <dataFields count="1">
    <dataField name="Sum of Qty" fld="5" baseField="0" baseItem="0"/>
  </dataFields>
  <chartFormats count="13">
    <chartFormat chart="2" format="11" series="1">
      <pivotArea type="data" outline="0" fieldPosition="0">
        <references count="1">
          <reference field="4294967294" count="1" selected="0">
            <x v="0"/>
          </reference>
        </references>
      </pivotArea>
    </chartFormat>
    <chartFormat chart="2" format="12" series="1">
      <pivotArea type="data" outline="0" fieldPosition="0">
        <references count="2">
          <reference field="4294967294" count="1" selected="0">
            <x v="0"/>
          </reference>
          <reference field="2" count="1" selected="0">
            <x v="1"/>
          </reference>
        </references>
      </pivotArea>
    </chartFormat>
    <chartFormat chart="2" format="13" series="1">
      <pivotArea type="data" outline="0" fieldPosition="0">
        <references count="2">
          <reference field="4294967294" count="1" selected="0">
            <x v="0"/>
          </reference>
          <reference field="2" count="1" selected="0">
            <x v="2"/>
          </reference>
        </references>
      </pivotArea>
    </chartFormat>
    <chartFormat chart="2" format="14" series="1">
      <pivotArea type="data" outline="0" fieldPosition="0">
        <references count="2">
          <reference field="4294967294" count="1" selected="0">
            <x v="0"/>
          </reference>
          <reference field="2" count="1" selected="0">
            <x v="3"/>
          </reference>
        </references>
      </pivotArea>
    </chartFormat>
    <chartFormat chart="2" format="15" series="1">
      <pivotArea type="data" outline="0" fieldPosition="0">
        <references count="2">
          <reference field="4294967294" count="1" selected="0">
            <x v="0"/>
          </reference>
          <reference field="2" count="1" selected="0">
            <x v="4"/>
          </reference>
        </references>
      </pivotArea>
    </chartFormat>
    <chartFormat chart="2" format="16" series="1">
      <pivotArea type="data" outline="0" fieldPosition="0">
        <references count="2">
          <reference field="4294967294" count="1" selected="0">
            <x v="0"/>
          </reference>
          <reference field="2" count="1" selected="0">
            <x v="5"/>
          </reference>
        </references>
      </pivotArea>
    </chartFormat>
    <chartFormat chart="2" format="17" series="1">
      <pivotArea type="data" outline="0" fieldPosition="0">
        <references count="2">
          <reference field="4294967294" count="1" selected="0">
            <x v="0"/>
          </reference>
          <reference field="2" count="1" selected="0">
            <x v="0"/>
          </reference>
        </references>
      </pivotArea>
    </chartFormat>
    <chartFormat chart="4" format="24" series="1">
      <pivotArea type="data" outline="0" fieldPosition="0">
        <references count="2">
          <reference field="4294967294" count="1" selected="0">
            <x v="0"/>
          </reference>
          <reference field="2" count="1" selected="0">
            <x v="0"/>
          </reference>
        </references>
      </pivotArea>
    </chartFormat>
    <chartFormat chart="4" format="25" series="1">
      <pivotArea type="data" outline="0" fieldPosition="0">
        <references count="2">
          <reference field="4294967294" count="1" selected="0">
            <x v="0"/>
          </reference>
          <reference field="2" count="1" selected="0">
            <x v="1"/>
          </reference>
        </references>
      </pivotArea>
    </chartFormat>
    <chartFormat chart="4" format="26" series="1">
      <pivotArea type="data" outline="0" fieldPosition="0">
        <references count="2">
          <reference field="4294967294" count="1" selected="0">
            <x v="0"/>
          </reference>
          <reference field="2" count="1" selected="0">
            <x v="2"/>
          </reference>
        </references>
      </pivotArea>
    </chartFormat>
    <chartFormat chart="4" format="27" series="1">
      <pivotArea type="data" outline="0" fieldPosition="0">
        <references count="2">
          <reference field="4294967294" count="1" selected="0">
            <x v="0"/>
          </reference>
          <reference field="2" count="1" selected="0">
            <x v="3"/>
          </reference>
        </references>
      </pivotArea>
    </chartFormat>
    <chartFormat chart="4" format="28" series="1">
      <pivotArea type="data" outline="0" fieldPosition="0">
        <references count="2">
          <reference field="4294967294" count="1" selected="0">
            <x v="0"/>
          </reference>
          <reference field="2" count="1" selected="0">
            <x v="4"/>
          </reference>
        </references>
      </pivotArea>
    </chartFormat>
    <chartFormat chart="4" format="29"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2ADDB6-A79D-4BA9-B461-ED8F2E15D8F7}"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10" firstHeaderRow="1" firstDataRow="1" firstDataCol="1"/>
  <pivotFields count="8">
    <pivotField showAll="0"/>
    <pivotField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7">
    <i>
      <x/>
    </i>
    <i>
      <x v="1"/>
    </i>
    <i>
      <x v="2"/>
    </i>
    <i>
      <x v="3"/>
    </i>
    <i>
      <x v="4"/>
    </i>
    <i>
      <x v="5"/>
    </i>
    <i t="grand">
      <x/>
    </i>
  </rowItems>
  <colItems count="1">
    <i/>
  </colItems>
  <dataFields count="1">
    <dataField name="Sum of Total" fld="7" baseField="0" baseItem="0"/>
  </dataFields>
  <chartFormats count="1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0"/>
          </reference>
        </references>
      </pivotArea>
    </chartFormat>
    <chartFormat chart="3" format="14">
      <pivotArea type="data" outline="0" fieldPosition="0">
        <references count="2">
          <reference field="4294967294" count="1" selected="0">
            <x v="0"/>
          </reference>
          <reference field="2" count="1" selected="0">
            <x v="0"/>
          </reference>
        </references>
      </pivotArea>
    </chartFormat>
    <chartFormat chart="3" format="15">
      <pivotArea type="data" outline="0" fieldPosition="0">
        <references count="2">
          <reference field="4294967294" count="1" selected="0">
            <x v="0"/>
          </reference>
          <reference field="2" count="1" selected="0">
            <x v="1"/>
          </reference>
        </references>
      </pivotArea>
    </chartFormat>
    <chartFormat chart="3" format="16">
      <pivotArea type="data" outline="0" fieldPosition="0">
        <references count="2">
          <reference field="4294967294" count="1" selected="0">
            <x v="0"/>
          </reference>
          <reference field="2" count="1" selected="0">
            <x v="2"/>
          </reference>
        </references>
      </pivotArea>
    </chartFormat>
    <chartFormat chart="3" format="17">
      <pivotArea type="data" outline="0" fieldPosition="0">
        <references count="2">
          <reference field="4294967294" count="1" selected="0">
            <x v="0"/>
          </reference>
          <reference field="2" count="1" selected="0">
            <x v="3"/>
          </reference>
        </references>
      </pivotArea>
    </chartFormat>
    <chartFormat chart="3" format="18">
      <pivotArea type="data" outline="0" fieldPosition="0">
        <references count="2">
          <reference field="4294967294" count="1" selected="0">
            <x v="0"/>
          </reference>
          <reference field="2" count="1" selected="0">
            <x v="4"/>
          </reference>
        </references>
      </pivotArea>
    </chartFormat>
    <chartFormat chart="3" format="19">
      <pivotArea type="data" outline="0" fieldPosition="0">
        <references count="2">
          <reference field="4294967294" count="1" selected="0">
            <x v="0"/>
          </reference>
          <reference field="2" count="1" selected="0">
            <x v="5"/>
          </reference>
        </references>
      </pivotArea>
    </chartFormat>
    <chartFormat chart="1" format="6">
      <pivotArea type="data" outline="0" fieldPosition="0">
        <references count="2">
          <reference field="4294967294" count="1" selected="0">
            <x v="0"/>
          </reference>
          <reference field="2" count="1" selected="0">
            <x v="0"/>
          </reference>
        </references>
      </pivotArea>
    </chartFormat>
    <chartFormat chart="1" format="7">
      <pivotArea type="data" outline="0" fieldPosition="0">
        <references count="2">
          <reference field="4294967294" count="1" selected="0">
            <x v="0"/>
          </reference>
          <reference field="2" count="1" selected="0">
            <x v="1"/>
          </reference>
        </references>
      </pivotArea>
    </chartFormat>
    <chartFormat chart="1" format="8">
      <pivotArea type="data" outline="0" fieldPosition="0">
        <references count="2">
          <reference field="4294967294" count="1" selected="0">
            <x v="0"/>
          </reference>
          <reference field="2" count="1" selected="0">
            <x v="2"/>
          </reference>
        </references>
      </pivotArea>
    </chartFormat>
    <chartFormat chart="1" format="9">
      <pivotArea type="data" outline="0" fieldPosition="0">
        <references count="2">
          <reference field="4294967294" count="1" selected="0">
            <x v="0"/>
          </reference>
          <reference field="2" count="1" selected="0">
            <x v="3"/>
          </reference>
        </references>
      </pivotArea>
    </chartFormat>
    <chartFormat chart="1" format="10">
      <pivotArea type="data" outline="0" fieldPosition="0">
        <references count="2">
          <reference field="4294967294" count="1" selected="0">
            <x v="0"/>
          </reference>
          <reference field="2" count="1" selected="0">
            <x v="4"/>
          </reference>
        </references>
      </pivotArea>
    </chartFormat>
    <chartFormat chart="1" format="1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A66A52A-CFE4-4BC5-B29B-F2A654416B1A}"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8" firstHeaderRow="1" firstDataRow="1" firstDataCol="1"/>
  <pivotFields count="8">
    <pivotField showAll="0"/>
    <pivotField numFmtId="164" showAll="0">
      <items count="11">
        <item x="0"/>
        <item x="1"/>
        <item x="2"/>
        <item x="3"/>
        <item x="4"/>
        <item x="5"/>
        <item x="6"/>
        <item x="7"/>
        <item x="8"/>
        <item x="9"/>
        <item t="default"/>
      </items>
    </pivotField>
    <pivotField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Items count="1">
    <i/>
  </colItems>
  <dataFields count="1">
    <dataField name="Sum of Total" fld="7" baseField="0" baseItem="0"/>
  </dataFields>
  <chartFormats count="10">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4" count="1" selected="0">
            <x v="0"/>
          </reference>
        </references>
      </pivotArea>
    </chartFormat>
    <chartFormat chart="2" format="8">
      <pivotArea type="data" outline="0" fieldPosition="0">
        <references count="2">
          <reference field="4294967294" count="1" selected="0">
            <x v="0"/>
          </reference>
          <reference field="4" count="1" selected="0">
            <x v="1"/>
          </reference>
        </references>
      </pivotArea>
    </chartFormat>
    <chartFormat chart="2" format="9">
      <pivotArea type="data" outline="0" fieldPosition="0">
        <references count="2">
          <reference field="4294967294" count="1" selected="0">
            <x v="0"/>
          </reference>
          <reference field="4" count="1" selected="0">
            <x v="2"/>
          </reference>
        </references>
      </pivotArea>
    </chartFormat>
    <chartFormat chart="2" format="10">
      <pivotArea type="data" outline="0" fieldPosition="0">
        <references count="2">
          <reference field="4294967294" count="1" selected="0">
            <x v="0"/>
          </reference>
          <reference field="4" count="1" selected="0">
            <x v="3"/>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8A56081B-6446-438B-90FA-F112013E01EA}" sourceName="Date">
  <pivotTables>
    <pivotTable tabId="25" name="PivotTable1"/>
    <pivotTable tabId="26" name="PivotTable1"/>
    <pivotTable tabId="27" name="PivotTable1"/>
    <pivotTable tabId="28" name="PivotTable1"/>
  </pivotTables>
  <data>
    <tabular pivotCacheId="879410032">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293E3FC2-7CC0-4DCD-A6C0-2B895833CA38}" sourceName="Product">
  <pivotTables>
    <pivotTable tabId="25" name="PivotTable1"/>
    <pivotTable tabId="26" name="PivotTable1"/>
    <pivotTable tabId="27" name="PivotTable1"/>
    <pivotTable tabId="28" name="PivotTable1"/>
  </pivotTables>
  <data>
    <tabular pivotCacheId="879410032">
      <items count="6">
        <i x="2" s="1"/>
        <i x="4" s="1"/>
        <i x="5"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04888CF5-82D4-4290-BF0F-A750F33CB002}" sourceName="Name">
  <pivotTables>
    <pivotTable tabId="25" name="PivotTable1"/>
    <pivotTable tabId="26" name="PivotTable1"/>
    <pivotTable tabId="27" name="PivotTable1"/>
    <pivotTable tabId="28" name="PivotTable1"/>
  </pivotTables>
  <data>
    <tabular pivotCacheId="879410032">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06E0913A-84CE-47DC-BE8C-A49EE54AB167}" sourceName="Area">
  <pivotTables>
    <pivotTable tabId="25" name="PivotTable1"/>
    <pivotTable tabId="26" name="PivotTable1"/>
    <pivotTable tabId="27" name="PivotTable1"/>
    <pivotTable tabId="28" name="PivotTable1"/>
  </pivotTables>
  <data>
    <tabular pivotCacheId="879410032">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61E941E1-6AE8-466C-9413-677424AD6965}" cache="Slicer_Date" caption="Date" columnCount="2" style="SlicerStyleDark2" rowHeight="241300"/>
  <slicer name="Product" xr10:uid="{3A5D18E9-42E1-4A42-AD7C-BA2A5A058C96}" cache="Slicer_Product" caption="Product" columnCount="3" style="SlicerStyleDark5" rowHeight="241300"/>
  <slicer name="Name" xr10:uid="{135984CF-4D86-46EF-92FA-D27FF1CAA124}" cache="Slicer_Name" caption="Name" columnCount="3" style="SlicerStyleDark6" rowHeight="241300"/>
  <slicer name="Area" xr10:uid="{84076EA5-9689-4722-9391-C5010EDCFABA}" cache="Slicer_Area" caption="Area" columnCount="4" style="SlicerStyleDark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7AC74DA-3429-4612-87C2-6E0607A68880}" name="Data" displayName="Data" ref="A1:H82" totalsRowShown="0">
  <autoFilter ref="A1:H82" xr:uid="{BB71F75F-3D64-450D-99D4-FDC3F4525E98}"/>
  <tableColumns count="8">
    <tableColumn id="1" xr3:uid="{188DCDC9-893B-41DA-98F5-47BB9E3102F6}" name="Sr. No."/>
    <tableColumn id="2" xr3:uid="{D46B9AC5-1003-44FA-8162-2AF67A36E735}" name="Date" dataDxfId="0"/>
    <tableColumn id="3" xr3:uid="{F8248501-76A7-4B64-A9C9-3BD61DD771C4}" name="Product"/>
    <tableColumn id="4" xr3:uid="{96CDD85F-AD1D-4931-BE1A-D84E7939A825}" name="Name"/>
    <tableColumn id="5" xr3:uid="{F3AEE666-3C6D-4D39-9DD2-64B5EA7C5EA5}" name="Area"/>
    <tableColumn id="6" xr3:uid="{AA3ED081-33C6-416D-93CF-34D4F553D2E2}" name="Qty"/>
    <tableColumn id="7" xr3:uid="{DF4D52D4-69EB-4E10-B254-9B0B03D5DA53}" name="Cost"/>
    <tableColumn id="8" xr3:uid="{ED15284E-F5CF-4CDD-9AFF-1E42C516583B}" name="Total">
      <calculatedColumnFormula>F2*G2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130" zoomScaleNormal="130" workbookViewId="0">
      <selection activeCell="K27" sqref="K27"/>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ECA74-1E82-4014-89BA-DC53947CCC7A}">
  <sheetPr codeName="Sheet8"/>
  <dimension ref="A3:L11"/>
  <sheetViews>
    <sheetView workbookViewId="0">
      <selection activeCell="D3" sqref="D3"/>
    </sheetView>
  </sheetViews>
  <sheetFormatPr defaultRowHeight="15" x14ac:dyDescent="0.25"/>
  <cols>
    <col min="1" max="1" width="13.140625" bestFit="1" customWidth="1"/>
    <col min="2" max="2" width="16.28515625" bestFit="1" customWidth="1"/>
    <col min="3" max="10" width="10.28515625" bestFit="1" customWidth="1"/>
    <col min="11" max="12" width="11.28515625" bestFit="1" customWidth="1"/>
  </cols>
  <sheetData>
    <row r="3" spans="1:12" x14ac:dyDescent="0.25">
      <c r="A3" s="11" t="s">
        <v>42</v>
      </c>
      <c r="B3" s="11" t="s">
        <v>44</v>
      </c>
    </row>
    <row r="4" spans="1:12" x14ac:dyDescent="0.25">
      <c r="A4" s="11" t="s">
        <v>40</v>
      </c>
      <c r="B4" s="3">
        <v>40179</v>
      </c>
      <c r="C4" s="3">
        <v>40180</v>
      </c>
      <c r="D4" s="3">
        <v>40181</v>
      </c>
      <c r="E4" s="3">
        <v>40182</v>
      </c>
      <c r="F4" s="3">
        <v>40183</v>
      </c>
      <c r="G4" s="3">
        <v>40184</v>
      </c>
      <c r="H4" s="3">
        <v>40185</v>
      </c>
      <c r="I4" s="3">
        <v>40186</v>
      </c>
      <c r="J4" s="3">
        <v>40187</v>
      </c>
      <c r="K4" s="3">
        <v>40188</v>
      </c>
      <c r="L4" s="3" t="s">
        <v>41</v>
      </c>
    </row>
    <row r="5" spans="1:12" x14ac:dyDescent="0.25">
      <c r="A5" s="12" t="s">
        <v>12</v>
      </c>
      <c r="B5" s="13"/>
      <c r="C5" s="13">
        <v>128065</v>
      </c>
      <c r="D5" s="13">
        <v>113449</v>
      </c>
      <c r="E5" s="13">
        <v>53818</v>
      </c>
      <c r="F5" s="13"/>
      <c r="G5" s="13"/>
      <c r="H5" s="13">
        <v>100608</v>
      </c>
      <c r="I5" s="13">
        <v>79956</v>
      </c>
      <c r="J5" s="13">
        <v>96168</v>
      </c>
      <c r="K5" s="13"/>
      <c r="L5" s="13">
        <v>572064</v>
      </c>
    </row>
    <row r="6" spans="1:12" x14ac:dyDescent="0.25">
      <c r="A6" s="12" t="s">
        <v>14</v>
      </c>
      <c r="B6" s="13"/>
      <c r="C6" s="13">
        <v>106962</v>
      </c>
      <c r="D6" s="13"/>
      <c r="E6" s="13"/>
      <c r="F6" s="13">
        <v>150136</v>
      </c>
      <c r="G6" s="13"/>
      <c r="H6" s="13">
        <v>75930</v>
      </c>
      <c r="I6" s="13"/>
      <c r="J6" s="13"/>
      <c r="K6" s="13">
        <v>82404</v>
      </c>
      <c r="L6" s="13">
        <v>415432</v>
      </c>
    </row>
    <row r="7" spans="1:12" x14ac:dyDescent="0.25">
      <c r="A7" s="12" t="s">
        <v>13</v>
      </c>
      <c r="B7" s="13">
        <v>66350</v>
      </c>
      <c r="C7" s="13"/>
      <c r="D7" s="13">
        <v>57780</v>
      </c>
      <c r="E7" s="13">
        <v>89834</v>
      </c>
      <c r="F7" s="13">
        <v>114645</v>
      </c>
      <c r="G7" s="13">
        <v>31760</v>
      </c>
      <c r="H7" s="13"/>
      <c r="I7" s="13">
        <v>19172</v>
      </c>
      <c r="J7" s="13">
        <v>22040</v>
      </c>
      <c r="K7" s="13">
        <v>69180</v>
      </c>
      <c r="L7" s="13">
        <v>470761</v>
      </c>
    </row>
    <row r="8" spans="1:12" x14ac:dyDescent="0.25">
      <c r="A8" s="12" t="s">
        <v>10</v>
      </c>
      <c r="B8" s="13">
        <v>91980</v>
      </c>
      <c r="C8" s="13">
        <v>79150</v>
      </c>
      <c r="D8" s="13">
        <v>117092</v>
      </c>
      <c r="E8" s="13"/>
      <c r="F8" s="13"/>
      <c r="G8" s="13">
        <v>102080</v>
      </c>
      <c r="H8" s="13">
        <v>84690</v>
      </c>
      <c r="I8" s="13">
        <v>122616</v>
      </c>
      <c r="J8" s="13"/>
      <c r="K8" s="13"/>
      <c r="L8" s="13">
        <v>597608</v>
      </c>
    </row>
    <row r="9" spans="1:12" x14ac:dyDescent="0.25">
      <c r="A9" s="12" t="s">
        <v>11</v>
      </c>
      <c r="B9" s="13">
        <v>65870</v>
      </c>
      <c r="C9" s="13"/>
      <c r="D9" s="13">
        <v>104735</v>
      </c>
      <c r="E9" s="13">
        <v>148242</v>
      </c>
      <c r="F9" s="13">
        <v>133178</v>
      </c>
      <c r="G9" s="13">
        <v>147168</v>
      </c>
      <c r="H9" s="13"/>
      <c r="I9" s="13">
        <v>113496</v>
      </c>
      <c r="J9" s="13">
        <v>110572</v>
      </c>
      <c r="K9" s="13">
        <v>150588</v>
      </c>
      <c r="L9" s="13">
        <v>973849</v>
      </c>
    </row>
    <row r="10" spans="1:12" x14ac:dyDescent="0.25">
      <c r="A10" s="12" t="s">
        <v>8</v>
      </c>
      <c r="B10" s="13">
        <v>87635</v>
      </c>
      <c r="C10" s="13">
        <v>132154</v>
      </c>
      <c r="D10" s="13"/>
      <c r="E10" s="13">
        <v>72460</v>
      </c>
      <c r="F10" s="13">
        <v>111624</v>
      </c>
      <c r="G10" s="13">
        <v>83204</v>
      </c>
      <c r="H10" s="13">
        <v>147520</v>
      </c>
      <c r="I10" s="13"/>
      <c r="J10" s="13">
        <v>61732</v>
      </c>
      <c r="K10" s="13">
        <v>33500</v>
      </c>
      <c r="L10" s="13">
        <v>729829</v>
      </c>
    </row>
    <row r="11" spans="1:12" x14ac:dyDescent="0.25">
      <c r="A11" s="12" t="s">
        <v>41</v>
      </c>
      <c r="B11" s="13">
        <v>311835</v>
      </c>
      <c r="C11" s="13">
        <v>446331</v>
      </c>
      <c r="D11" s="13">
        <v>393056</v>
      </c>
      <c r="E11" s="13">
        <v>364354</v>
      </c>
      <c r="F11" s="13">
        <v>509583</v>
      </c>
      <c r="G11" s="13">
        <v>364212</v>
      </c>
      <c r="H11" s="13">
        <v>408748</v>
      </c>
      <c r="I11" s="13">
        <v>335240</v>
      </c>
      <c r="J11" s="13">
        <v>290512</v>
      </c>
      <c r="K11" s="13">
        <v>335672</v>
      </c>
      <c r="L11" s="13">
        <v>3759543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040EE-0281-4FE2-9B4E-1F6720341A01}">
  <sheetPr codeName="Sheet9"/>
  <dimension ref="A3:H9"/>
  <sheetViews>
    <sheetView workbookViewId="0">
      <selection activeCell="B39" sqref="B39"/>
    </sheetView>
  </sheetViews>
  <sheetFormatPr defaultRowHeight="15" x14ac:dyDescent="0.25"/>
  <cols>
    <col min="1" max="1" width="13.140625" bestFit="1" customWidth="1"/>
    <col min="2" max="2" width="16.28515625" bestFit="1" customWidth="1"/>
    <col min="3" max="3" width="9.140625" bestFit="1" customWidth="1"/>
    <col min="4" max="4" width="7" bestFit="1" customWidth="1"/>
    <col min="5" max="5" width="7.42578125" bestFit="1" customWidth="1"/>
    <col min="6" max="6" width="5.85546875" bestFit="1" customWidth="1"/>
    <col min="7" max="7" width="4" bestFit="1" customWidth="1"/>
    <col min="8" max="8" width="11.28515625" bestFit="1" customWidth="1"/>
  </cols>
  <sheetData>
    <row r="3" spans="1:8" x14ac:dyDescent="0.25">
      <c r="A3" s="11" t="s">
        <v>43</v>
      </c>
      <c r="B3" s="11" t="s">
        <v>44</v>
      </c>
    </row>
    <row r="4" spans="1:8" x14ac:dyDescent="0.25">
      <c r="A4" s="11" t="s">
        <v>40</v>
      </c>
      <c r="B4" t="s">
        <v>12</v>
      </c>
      <c r="C4" t="s">
        <v>14</v>
      </c>
      <c r="D4" t="s">
        <v>13</v>
      </c>
      <c r="E4" t="s">
        <v>10</v>
      </c>
      <c r="F4" t="s">
        <v>11</v>
      </c>
      <c r="G4" t="s">
        <v>8</v>
      </c>
      <c r="H4" t="s">
        <v>41</v>
      </c>
    </row>
    <row r="5" spans="1:8" x14ac:dyDescent="0.25">
      <c r="A5" s="12" t="s">
        <v>9</v>
      </c>
      <c r="B5" s="13">
        <v>71</v>
      </c>
      <c r="C5" s="13">
        <v>73</v>
      </c>
      <c r="D5" s="13"/>
      <c r="E5" s="13">
        <v>58</v>
      </c>
      <c r="F5" s="13">
        <v>70</v>
      </c>
      <c r="G5" s="13">
        <v>70</v>
      </c>
      <c r="H5" s="13">
        <v>342</v>
      </c>
    </row>
    <row r="6" spans="1:8" x14ac:dyDescent="0.25">
      <c r="A6" s="12" t="s">
        <v>22</v>
      </c>
      <c r="B6" s="13">
        <v>54</v>
      </c>
      <c r="C6" s="13"/>
      <c r="D6" s="13">
        <v>81</v>
      </c>
      <c r="E6" s="13"/>
      <c r="F6" s="13">
        <v>75</v>
      </c>
      <c r="G6" s="13"/>
      <c r="H6" s="13">
        <v>210</v>
      </c>
    </row>
    <row r="7" spans="1:8" x14ac:dyDescent="0.25">
      <c r="A7" s="12" t="s">
        <v>21</v>
      </c>
      <c r="B7" s="13"/>
      <c r="C7" s="13">
        <v>60</v>
      </c>
      <c r="D7" s="13"/>
      <c r="E7" s="13">
        <v>55</v>
      </c>
      <c r="F7" s="13">
        <v>57</v>
      </c>
      <c r="G7" s="13">
        <v>79</v>
      </c>
      <c r="H7" s="13">
        <v>251</v>
      </c>
    </row>
    <row r="8" spans="1:8" x14ac:dyDescent="0.25">
      <c r="A8" s="12" t="s">
        <v>20</v>
      </c>
      <c r="B8" s="13">
        <v>48</v>
      </c>
      <c r="C8" s="13"/>
      <c r="D8" s="13">
        <v>45</v>
      </c>
      <c r="E8" s="13">
        <v>57</v>
      </c>
      <c r="F8" s="13">
        <v>61</v>
      </c>
      <c r="G8" s="13">
        <v>55</v>
      </c>
      <c r="H8" s="13">
        <v>266</v>
      </c>
    </row>
    <row r="9" spans="1:8" x14ac:dyDescent="0.25">
      <c r="A9" s="12" t="s">
        <v>41</v>
      </c>
      <c r="B9" s="13">
        <v>173</v>
      </c>
      <c r="C9" s="13">
        <v>133</v>
      </c>
      <c r="D9" s="13">
        <v>126</v>
      </c>
      <c r="E9" s="13">
        <v>170</v>
      </c>
      <c r="F9" s="13">
        <v>263</v>
      </c>
      <c r="G9" s="13">
        <v>204</v>
      </c>
      <c r="H9" s="13">
        <v>1069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C12FF-22D2-4F4B-824A-6FDF0543C283}">
  <sheetPr codeName="Sheet10"/>
  <dimension ref="A3:B10"/>
  <sheetViews>
    <sheetView workbookViewId="0">
      <selection activeCell="S5" sqref="S5"/>
    </sheetView>
  </sheetViews>
  <sheetFormatPr defaultRowHeight="15" x14ac:dyDescent="0.25"/>
  <cols>
    <col min="1" max="1" width="13.140625" bestFit="1" customWidth="1"/>
    <col min="2" max="2" width="12" bestFit="1" customWidth="1"/>
  </cols>
  <sheetData>
    <row r="3" spans="1:2" x14ac:dyDescent="0.25">
      <c r="A3" s="11" t="s">
        <v>40</v>
      </c>
      <c r="B3" t="s">
        <v>42</v>
      </c>
    </row>
    <row r="4" spans="1:2" x14ac:dyDescent="0.25">
      <c r="A4" s="12" t="s">
        <v>12</v>
      </c>
      <c r="B4" s="13">
        <v>572064</v>
      </c>
    </row>
    <row r="5" spans="1:2" x14ac:dyDescent="0.25">
      <c r="A5" s="12" t="s">
        <v>14</v>
      </c>
      <c r="B5" s="13">
        <v>415432</v>
      </c>
    </row>
    <row r="6" spans="1:2" x14ac:dyDescent="0.25">
      <c r="A6" s="12" t="s">
        <v>13</v>
      </c>
      <c r="B6" s="13">
        <v>470761</v>
      </c>
    </row>
    <row r="7" spans="1:2" x14ac:dyDescent="0.25">
      <c r="A7" s="12" t="s">
        <v>10</v>
      </c>
      <c r="B7" s="13">
        <v>597608</v>
      </c>
    </row>
    <row r="8" spans="1:2" x14ac:dyDescent="0.25">
      <c r="A8" s="12" t="s">
        <v>11</v>
      </c>
      <c r="B8" s="13">
        <v>973849</v>
      </c>
    </row>
    <row r="9" spans="1:2" x14ac:dyDescent="0.25">
      <c r="A9" s="12" t="s">
        <v>8</v>
      </c>
      <c r="B9" s="13">
        <v>729829</v>
      </c>
    </row>
    <row r="10" spans="1:2" x14ac:dyDescent="0.25">
      <c r="A10" s="12" t="s">
        <v>41</v>
      </c>
      <c r="B10" s="13">
        <v>3759543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109F1-F15D-457D-8353-2EFA71888D29}">
  <sheetPr codeName="Sheet11"/>
  <dimension ref="A3:B8"/>
  <sheetViews>
    <sheetView workbookViewId="0">
      <selection activeCell="T8" sqref="T8"/>
    </sheetView>
  </sheetViews>
  <sheetFormatPr defaultRowHeight="15" x14ac:dyDescent="0.25"/>
  <cols>
    <col min="1" max="1" width="13.140625" bestFit="1" customWidth="1"/>
    <col min="2" max="2" width="12" bestFit="1" customWidth="1"/>
  </cols>
  <sheetData>
    <row r="3" spans="1:2" x14ac:dyDescent="0.25">
      <c r="A3" s="11" t="s">
        <v>40</v>
      </c>
      <c r="B3" t="s">
        <v>42</v>
      </c>
    </row>
    <row r="4" spans="1:2" x14ac:dyDescent="0.25">
      <c r="A4" s="12" t="s">
        <v>9</v>
      </c>
      <c r="B4" s="13">
        <v>1158493</v>
      </c>
    </row>
    <row r="5" spans="1:2" x14ac:dyDescent="0.25">
      <c r="A5" s="12" t="s">
        <v>22</v>
      </c>
      <c r="B5" s="13">
        <v>799375</v>
      </c>
    </row>
    <row r="6" spans="1:2" x14ac:dyDescent="0.25">
      <c r="A6" s="12" t="s">
        <v>21</v>
      </c>
      <c r="B6" s="13">
        <v>914954</v>
      </c>
    </row>
    <row r="7" spans="1:2" x14ac:dyDescent="0.25">
      <c r="A7" s="12" t="s">
        <v>20</v>
      </c>
      <c r="B7" s="13">
        <v>886721</v>
      </c>
    </row>
    <row r="8" spans="1:2" x14ac:dyDescent="0.25">
      <c r="A8" s="12" t="s">
        <v>41</v>
      </c>
      <c r="B8" s="13">
        <v>3759543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82"/>
  <sheetViews>
    <sheetView topLeftCell="A2" workbookViewId="0">
      <selection activeCell="C14" sqref="C14"/>
    </sheetView>
  </sheetViews>
  <sheetFormatPr defaultRowHeight="15" x14ac:dyDescent="0.25"/>
  <cols>
    <col min="2" max="2" width="11.28515625" bestFit="1" customWidth="1"/>
    <col min="3" max="3" width="10" customWidth="1"/>
  </cols>
  <sheetData>
    <row r="1" spans="1:8" x14ac:dyDescent="0.25">
      <c r="A1" t="s">
        <v>7</v>
      </c>
      <c r="B1" t="s">
        <v>0</v>
      </c>
      <c r="C1" t="s">
        <v>1</v>
      </c>
      <c r="D1" t="s">
        <v>2</v>
      </c>
      <c r="E1" t="s">
        <v>3</v>
      </c>
      <c r="F1" t="s">
        <v>4</v>
      </c>
      <c r="G1" t="s">
        <v>5</v>
      </c>
      <c r="H1" t="s">
        <v>6</v>
      </c>
    </row>
    <row r="2" spans="1:8" x14ac:dyDescent="0.25">
      <c r="A2">
        <v>1</v>
      </c>
      <c r="B2" s="3">
        <v>40179</v>
      </c>
      <c r="C2" t="s">
        <v>10</v>
      </c>
      <c r="D2" t="s">
        <v>15</v>
      </c>
      <c r="E2" t="s">
        <v>9</v>
      </c>
      <c r="F2">
        <v>16</v>
      </c>
      <c r="G2">
        <v>2195</v>
      </c>
      <c r="H2">
        <f>F2*G2</f>
        <v>35120</v>
      </c>
    </row>
    <row r="3" spans="1:8" x14ac:dyDescent="0.25">
      <c r="A3">
        <v>2</v>
      </c>
      <c r="B3" s="3">
        <v>40180</v>
      </c>
      <c r="C3" t="s">
        <v>8</v>
      </c>
      <c r="D3" t="s">
        <v>16</v>
      </c>
      <c r="E3" t="s">
        <v>9</v>
      </c>
      <c r="F3">
        <v>16</v>
      </c>
      <c r="G3">
        <v>3971</v>
      </c>
      <c r="H3">
        <f t="shared" ref="H3:H21" si="0">F3*G3</f>
        <v>63536</v>
      </c>
    </row>
    <row r="4" spans="1:8" x14ac:dyDescent="0.25">
      <c r="A4">
        <v>3</v>
      </c>
      <c r="B4" s="3">
        <v>40181</v>
      </c>
      <c r="C4" t="s">
        <v>12</v>
      </c>
      <c r="D4" t="s">
        <v>17</v>
      </c>
      <c r="E4" t="s">
        <v>9</v>
      </c>
      <c r="F4">
        <v>11</v>
      </c>
      <c r="G4">
        <v>4859</v>
      </c>
      <c r="H4">
        <f t="shared" si="0"/>
        <v>53449</v>
      </c>
    </row>
    <row r="5" spans="1:8" x14ac:dyDescent="0.25">
      <c r="A5">
        <v>4</v>
      </c>
      <c r="B5" s="3">
        <v>40182</v>
      </c>
      <c r="C5" t="s">
        <v>11</v>
      </c>
      <c r="D5" t="s">
        <v>18</v>
      </c>
      <c r="E5" t="s">
        <v>9</v>
      </c>
      <c r="F5">
        <v>16</v>
      </c>
      <c r="G5">
        <v>2055</v>
      </c>
      <c r="H5">
        <f t="shared" si="0"/>
        <v>32880</v>
      </c>
    </row>
    <row r="6" spans="1:8" x14ac:dyDescent="0.25">
      <c r="A6">
        <v>5</v>
      </c>
      <c r="B6" s="3">
        <v>40183</v>
      </c>
      <c r="C6" t="s">
        <v>14</v>
      </c>
      <c r="D6" t="s">
        <v>19</v>
      </c>
      <c r="E6" t="s">
        <v>9</v>
      </c>
      <c r="F6">
        <v>17</v>
      </c>
      <c r="G6">
        <v>3892</v>
      </c>
      <c r="H6">
        <f t="shared" si="0"/>
        <v>66164</v>
      </c>
    </row>
    <row r="7" spans="1:8" x14ac:dyDescent="0.25">
      <c r="A7">
        <v>6</v>
      </c>
      <c r="B7" s="3">
        <v>40184</v>
      </c>
      <c r="C7" t="s">
        <v>10</v>
      </c>
      <c r="D7" t="s">
        <v>15</v>
      </c>
      <c r="E7" t="s">
        <v>9</v>
      </c>
      <c r="F7">
        <v>11</v>
      </c>
      <c r="G7">
        <v>4640</v>
      </c>
      <c r="H7">
        <f t="shared" si="0"/>
        <v>51040</v>
      </c>
    </row>
    <row r="8" spans="1:8" x14ac:dyDescent="0.25">
      <c r="A8">
        <v>7</v>
      </c>
      <c r="B8" s="3">
        <v>40185</v>
      </c>
      <c r="C8" t="s">
        <v>8</v>
      </c>
      <c r="D8" t="s">
        <v>16</v>
      </c>
      <c r="E8" t="s">
        <v>9</v>
      </c>
      <c r="F8">
        <v>16</v>
      </c>
      <c r="G8">
        <v>4610</v>
      </c>
      <c r="H8">
        <f t="shared" si="0"/>
        <v>73760</v>
      </c>
    </row>
    <row r="9" spans="1:8" x14ac:dyDescent="0.25">
      <c r="A9">
        <v>8</v>
      </c>
      <c r="B9" s="3">
        <v>40186</v>
      </c>
      <c r="C9" t="s">
        <v>12</v>
      </c>
      <c r="D9" t="s">
        <v>17</v>
      </c>
      <c r="E9" t="s">
        <v>9</v>
      </c>
      <c r="F9">
        <v>18</v>
      </c>
      <c r="G9">
        <v>2221</v>
      </c>
      <c r="H9">
        <f t="shared" si="0"/>
        <v>39978</v>
      </c>
    </row>
    <row r="10" spans="1:8" x14ac:dyDescent="0.25">
      <c r="A10">
        <v>9</v>
      </c>
      <c r="B10" s="3">
        <v>40187</v>
      </c>
      <c r="C10" t="s">
        <v>11</v>
      </c>
      <c r="D10" t="s">
        <v>18</v>
      </c>
      <c r="E10" t="s">
        <v>9</v>
      </c>
      <c r="F10">
        <v>14</v>
      </c>
      <c r="G10">
        <v>3949</v>
      </c>
      <c r="H10">
        <f t="shared" si="0"/>
        <v>55286</v>
      </c>
    </row>
    <row r="11" spans="1:8" x14ac:dyDescent="0.25">
      <c r="A11">
        <v>10</v>
      </c>
      <c r="B11" s="3">
        <v>40188</v>
      </c>
      <c r="C11" t="s">
        <v>14</v>
      </c>
      <c r="D11" t="s">
        <v>19</v>
      </c>
      <c r="E11" t="s">
        <v>9</v>
      </c>
      <c r="F11">
        <v>14</v>
      </c>
      <c r="G11">
        <v>2943</v>
      </c>
      <c r="H11">
        <f t="shared" si="0"/>
        <v>41202</v>
      </c>
    </row>
    <row r="12" spans="1:8" x14ac:dyDescent="0.25">
      <c r="A12">
        <v>11</v>
      </c>
      <c r="B12" s="3">
        <v>40184</v>
      </c>
      <c r="C12" t="s">
        <v>10</v>
      </c>
      <c r="D12" t="s">
        <v>15</v>
      </c>
      <c r="E12" t="s">
        <v>9</v>
      </c>
      <c r="F12">
        <v>11</v>
      </c>
      <c r="G12">
        <v>4640</v>
      </c>
      <c r="H12">
        <f t="shared" si="0"/>
        <v>51040</v>
      </c>
    </row>
    <row r="13" spans="1:8" x14ac:dyDescent="0.25">
      <c r="A13">
        <v>12</v>
      </c>
      <c r="B13" s="3">
        <v>40185</v>
      </c>
      <c r="C13" t="s">
        <v>8</v>
      </c>
      <c r="D13" t="s">
        <v>16</v>
      </c>
      <c r="E13" t="s">
        <v>9</v>
      </c>
      <c r="F13">
        <v>16</v>
      </c>
      <c r="G13">
        <v>4610</v>
      </c>
      <c r="H13">
        <f t="shared" si="0"/>
        <v>73760</v>
      </c>
    </row>
    <row r="14" spans="1:8" x14ac:dyDescent="0.25">
      <c r="A14">
        <v>13</v>
      </c>
      <c r="B14" s="3">
        <v>40186</v>
      </c>
      <c r="C14" t="s">
        <v>12</v>
      </c>
      <c r="D14" t="s">
        <v>17</v>
      </c>
      <c r="E14" t="s">
        <v>9</v>
      </c>
      <c r="F14">
        <v>18</v>
      </c>
      <c r="G14">
        <v>2221</v>
      </c>
      <c r="H14">
        <f t="shared" si="0"/>
        <v>39978</v>
      </c>
    </row>
    <row r="15" spans="1:8" x14ac:dyDescent="0.25">
      <c r="A15">
        <v>14</v>
      </c>
      <c r="B15" s="3">
        <v>40187</v>
      </c>
      <c r="C15" t="s">
        <v>11</v>
      </c>
      <c r="D15" t="s">
        <v>18</v>
      </c>
      <c r="E15" t="s">
        <v>9</v>
      </c>
      <c r="F15">
        <v>14</v>
      </c>
      <c r="G15">
        <v>3949</v>
      </c>
      <c r="H15">
        <f t="shared" si="0"/>
        <v>55286</v>
      </c>
    </row>
    <row r="16" spans="1:8" x14ac:dyDescent="0.25">
      <c r="A16">
        <v>15</v>
      </c>
      <c r="B16" s="3">
        <v>40188</v>
      </c>
      <c r="C16" t="s">
        <v>14</v>
      </c>
      <c r="D16" t="s">
        <v>19</v>
      </c>
      <c r="E16" t="s">
        <v>9</v>
      </c>
      <c r="F16">
        <v>14</v>
      </c>
      <c r="G16">
        <v>2943</v>
      </c>
      <c r="H16">
        <f t="shared" si="0"/>
        <v>41202</v>
      </c>
    </row>
    <row r="17" spans="1:8" x14ac:dyDescent="0.25">
      <c r="A17">
        <v>16</v>
      </c>
      <c r="B17" s="3">
        <v>40179</v>
      </c>
      <c r="C17" t="s">
        <v>10</v>
      </c>
      <c r="D17" t="s">
        <v>15</v>
      </c>
      <c r="E17" t="s">
        <v>9</v>
      </c>
      <c r="F17" s="14">
        <v>20</v>
      </c>
      <c r="G17" s="14">
        <v>2843</v>
      </c>
      <c r="H17" s="14">
        <f t="shared" si="0"/>
        <v>56860</v>
      </c>
    </row>
    <row r="18" spans="1:8" x14ac:dyDescent="0.25">
      <c r="A18">
        <v>17</v>
      </c>
      <c r="B18" s="3">
        <v>40180</v>
      </c>
      <c r="C18" t="s">
        <v>8</v>
      </c>
      <c r="D18" t="s">
        <v>16</v>
      </c>
      <c r="E18" t="s">
        <v>9</v>
      </c>
      <c r="F18" s="14">
        <v>22</v>
      </c>
      <c r="G18" s="14">
        <v>3119</v>
      </c>
      <c r="H18" s="14">
        <f t="shared" si="0"/>
        <v>68618</v>
      </c>
    </row>
    <row r="19" spans="1:8" x14ac:dyDescent="0.25">
      <c r="A19">
        <v>18</v>
      </c>
      <c r="B19" s="3">
        <v>40181</v>
      </c>
      <c r="C19" t="s">
        <v>12</v>
      </c>
      <c r="D19" t="s">
        <v>17</v>
      </c>
      <c r="E19" t="s">
        <v>9</v>
      </c>
      <c r="F19" s="14">
        <v>24</v>
      </c>
      <c r="G19" s="14">
        <v>2500</v>
      </c>
      <c r="H19" s="14">
        <f t="shared" si="0"/>
        <v>60000</v>
      </c>
    </row>
    <row r="20" spans="1:8" x14ac:dyDescent="0.25">
      <c r="A20">
        <v>19</v>
      </c>
      <c r="B20" s="3">
        <v>40182</v>
      </c>
      <c r="C20" t="s">
        <v>11</v>
      </c>
      <c r="D20" t="s">
        <v>18</v>
      </c>
      <c r="E20" t="s">
        <v>9</v>
      </c>
      <c r="F20" s="14">
        <v>26</v>
      </c>
      <c r="G20" s="14">
        <v>4437</v>
      </c>
      <c r="H20" s="14">
        <f t="shared" si="0"/>
        <v>115362</v>
      </c>
    </row>
    <row r="21" spans="1:8" x14ac:dyDescent="0.25">
      <c r="A21">
        <v>20</v>
      </c>
      <c r="B21" s="3">
        <v>40183</v>
      </c>
      <c r="C21" t="s">
        <v>14</v>
      </c>
      <c r="D21" t="s">
        <v>19</v>
      </c>
      <c r="E21" t="s">
        <v>9</v>
      </c>
      <c r="F21" s="14">
        <v>28</v>
      </c>
      <c r="G21" s="14">
        <v>2999</v>
      </c>
      <c r="H21" s="14">
        <f t="shared" si="0"/>
        <v>83972</v>
      </c>
    </row>
    <row r="22" spans="1:8" x14ac:dyDescent="0.25">
      <c r="A22">
        <v>21</v>
      </c>
      <c r="B22" s="3">
        <v>40179</v>
      </c>
      <c r="C22" t="s">
        <v>8</v>
      </c>
      <c r="D22" t="s">
        <v>15</v>
      </c>
      <c r="E22" t="s">
        <v>20</v>
      </c>
      <c r="F22">
        <v>16</v>
      </c>
      <c r="G22">
        <v>2856</v>
      </c>
      <c r="H22">
        <f>F22*G22</f>
        <v>45696</v>
      </c>
    </row>
    <row r="23" spans="1:8" x14ac:dyDescent="0.25">
      <c r="A23">
        <v>22</v>
      </c>
      <c r="B23" s="3">
        <v>40180</v>
      </c>
      <c r="C23" t="s">
        <v>10</v>
      </c>
      <c r="D23" t="s">
        <v>16</v>
      </c>
      <c r="E23" t="s">
        <v>20</v>
      </c>
      <c r="F23">
        <v>13</v>
      </c>
      <c r="G23">
        <v>2722</v>
      </c>
      <c r="H23">
        <f t="shared" ref="H23:H41" si="1">F23*G23</f>
        <v>35386</v>
      </c>
    </row>
    <row r="24" spans="1:8" x14ac:dyDescent="0.25">
      <c r="A24">
        <v>23</v>
      </c>
      <c r="B24" s="3">
        <v>40181</v>
      </c>
      <c r="C24" t="s">
        <v>11</v>
      </c>
      <c r="D24" t="s">
        <v>17</v>
      </c>
      <c r="E24" t="s">
        <v>20</v>
      </c>
      <c r="F24">
        <v>18</v>
      </c>
      <c r="G24">
        <v>2900</v>
      </c>
      <c r="H24">
        <f t="shared" si="1"/>
        <v>52200</v>
      </c>
    </row>
    <row r="25" spans="1:8" x14ac:dyDescent="0.25">
      <c r="A25">
        <v>24</v>
      </c>
      <c r="B25" s="3">
        <v>40182</v>
      </c>
      <c r="C25" t="s">
        <v>12</v>
      </c>
      <c r="D25" t="s">
        <v>18</v>
      </c>
      <c r="E25" t="s">
        <v>20</v>
      </c>
      <c r="F25">
        <v>13</v>
      </c>
      <c r="G25">
        <v>2236</v>
      </c>
      <c r="H25">
        <f t="shared" si="1"/>
        <v>29068</v>
      </c>
    </row>
    <row r="26" spans="1:8" x14ac:dyDescent="0.25">
      <c r="A26">
        <v>25</v>
      </c>
      <c r="B26" s="3">
        <v>40183</v>
      </c>
      <c r="C26" t="s">
        <v>13</v>
      </c>
      <c r="D26" t="s">
        <v>19</v>
      </c>
      <c r="E26" t="s">
        <v>20</v>
      </c>
      <c r="F26">
        <v>10</v>
      </c>
      <c r="G26">
        <v>4569</v>
      </c>
      <c r="H26">
        <f t="shared" si="1"/>
        <v>45690</v>
      </c>
    </row>
    <row r="27" spans="1:8" x14ac:dyDescent="0.25">
      <c r="A27">
        <v>26</v>
      </c>
      <c r="B27" s="3">
        <v>40184</v>
      </c>
      <c r="C27" t="s">
        <v>8</v>
      </c>
      <c r="D27" t="s">
        <v>15</v>
      </c>
      <c r="E27" t="s">
        <v>20</v>
      </c>
      <c r="F27">
        <v>11</v>
      </c>
      <c r="G27">
        <v>3782</v>
      </c>
      <c r="H27">
        <f t="shared" si="1"/>
        <v>41602</v>
      </c>
    </row>
    <row r="28" spans="1:8" x14ac:dyDescent="0.25">
      <c r="A28">
        <v>27</v>
      </c>
      <c r="B28" s="3">
        <v>40185</v>
      </c>
      <c r="C28" t="s">
        <v>10</v>
      </c>
      <c r="D28" t="s">
        <v>16</v>
      </c>
      <c r="E28" t="s">
        <v>20</v>
      </c>
      <c r="F28">
        <v>15</v>
      </c>
      <c r="G28">
        <v>2823</v>
      </c>
      <c r="H28">
        <f t="shared" si="1"/>
        <v>42345</v>
      </c>
    </row>
    <row r="29" spans="1:8" x14ac:dyDescent="0.25">
      <c r="A29">
        <v>28</v>
      </c>
      <c r="B29" s="3">
        <v>40186</v>
      </c>
      <c r="C29" t="s">
        <v>11</v>
      </c>
      <c r="D29" t="s">
        <v>17</v>
      </c>
      <c r="E29" t="s">
        <v>20</v>
      </c>
      <c r="F29">
        <v>12</v>
      </c>
      <c r="G29">
        <v>4729</v>
      </c>
      <c r="H29">
        <f t="shared" si="1"/>
        <v>56748</v>
      </c>
    </row>
    <row r="30" spans="1:8" x14ac:dyDescent="0.25">
      <c r="A30">
        <v>29</v>
      </c>
      <c r="B30" s="3">
        <v>40187</v>
      </c>
      <c r="C30" t="s">
        <v>12</v>
      </c>
      <c r="D30" t="s">
        <v>18</v>
      </c>
      <c r="E30" t="s">
        <v>20</v>
      </c>
      <c r="F30">
        <v>12</v>
      </c>
      <c r="G30">
        <v>4007</v>
      </c>
      <c r="H30">
        <f t="shared" si="1"/>
        <v>48084</v>
      </c>
    </row>
    <row r="31" spans="1:8" x14ac:dyDescent="0.25">
      <c r="A31">
        <v>30</v>
      </c>
      <c r="B31" s="3">
        <v>40188</v>
      </c>
      <c r="C31" t="s">
        <v>13</v>
      </c>
      <c r="D31" t="s">
        <v>19</v>
      </c>
      <c r="E31" t="s">
        <v>20</v>
      </c>
      <c r="F31">
        <v>10</v>
      </c>
      <c r="G31">
        <v>3459</v>
      </c>
      <c r="H31">
        <f t="shared" si="1"/>
        <v>34590</v>
      </c>
    </row>
    <row r="32" spans="1:8" x14ac:dyDescent="0.25">
      <c r="A32">
        <v>31</v>
      </c>
      <c r="B32" s="3">
        <v>40184</v>
      </c>
      <c r="C32" t="s">
        <v>8</v>
      </c>
      <c r="D32" t="s">
        <v>15</v>
      </c>
      <c r="E32" t="s">
        <v>20</v>
      </c>
      <c r="F32">
        <v>11</v>
      </c>
      <c r="G32">
        <v>3782</v>
      </c>
      <c r="H32">
        <f t="shared" si="1"/>
        <v>41602</v>
      </c>
    </row>
    <row r="33" spans="1:8" x14ac:dyDescent="0.25">
      <c r="A33">
        <v>32</v>
      </c>
      <c r="B33" s="3">
        <v>40185</v>
      </c>
      <c r="C33" t="s">
        <v>10</v>
      </c>
      <c r="D33" t="s">
        <v>16</v>
      </c>
      <c r="E33" t="s">
        <v>20</v>
      </c>
      <c r="F33">
        <v>15</v>
      </c>
      <c r="G33">
        <v>2823</v>
      </c>
      <c r="H33">
        <f t="shared" si="1"/>
        <v>42345</v>
      </c>
    </row>
    <row r="34" spans="1:8" x14ac:dyDescent="0.25">
      <c r="A34">
        <v>33</v>
      </c>
      <c r="B34" s="3">
        <v>40186</v>
      </c>
      <c r="C34" t="s">
        <v>11</v>
      </c>
      <c r="D34" t="s">
        <v>17</v>
      </c>
      <c r="E34" t="s">
        <v>20</v>
      </c>
      <c r="F34">
        <v>12</v>
      </c>
      <c r="G34">
        <v>4729</v>
      </c>
      <c r="H34">
        <f t="shared" si="1"/>
        <v>56748</v>
      </c>
    </row>
    <row r="35" spans="1:8" x14ac:dyDescent="0.25">
      <c r="A35">
        <v>34</v>
      </c>
      <c r="B35" s="3">
        <v>40187</v>
      </c>
      <c r="C35" t="s">
        <v>12</v>
      </c>
      <c r="D35" t="s">
        <v>18</v>
      </c>
      <c r="E35" t="s">
        <v>20</v>
      </c>
      <c r="F35">
        <v>12</v>
      </c>
      <c r="G35">
        <v>4007</v>
      </c>
      <c r="H35">
        <f t="shared" si="1"/>
        <v>48084</v>
      </c>
    </row>
    <row r="36" spans="1:8" x14ac:dyDescent="0.25">
      <c r="A36">
        <v>35</v>
      </c>
      <c r="B36" s="3">
        <v>40188</v>
      </c>
      <c r="C36" t="s">
        <v>13</v>
      </c>
      <c r="D36" t="s">
        <v>19</v>
      </c>
      <c r="E36" t="s">
        <v>20</v>
      </c>
      <c r="F36">
        <v>10</v>
      </c>
      <c r="G36">
        <v>3459</v>
      </c>
      <c r="H36">
        <f t="shared" si="1"/>
        <v>34590</v>
      </c>
    </row>
    <row r="37" spans="1:8" x14ac:dyDescent="0.25">
      <c r="A37">
        <v>36</v>
      </c>
      <c r="B37" s="3">
        <v>40179</v>
      </c>
      <c r="C37" t="s">
        <v>8</v>
      </c>
      <c r="D37" t="s">
        <v>15</v>
      </c>
      <c r="E37" t="s">
        <v>20</v>
      </c>
      <c r="F37">
        <v>17</v>
      </c>
      <c r="G37">
        <v>2467</v>
      </c>
      <c r="H37">
        <f t="shared" si="1"/>
        <v>41939</v>
      </c>
    </row>
    <row r="38" spans="1:8" x14ac:dyDescent="0.25">
      <c r="A38">
        <v>37</v>
      </c>
      <c r="B38" s="3">
        <v>40180</v>
      </c>
      <c r="C38" t="s">
        <v>10</v>
      </c>
      <c r="D38" t="s">
        <v>16</v>
      </c>
      <c r="E38" t="s">
        <v>20</v>
      </c>
      <c r="F38">
        <v>14</v>
      </c>
      <c r="G38">
        <v>3126</v>
      </c>
      <c r="H38">
        <f t="shared" si="1"/>
        <v>43764</v>
      </c>
    </row>
    <row r="39" spans="1:8" x14ac:dyDescent="0.25">
      <c r="A39">
        <v>38</v>
      </c>
      <c r="B39" s="3">
        <v>40181</v>
      </c>
      <c r="C39" t="s">
        <v>11</v>
      </c>
      <c r="D39" t="s">
        <v>17</v>
      </c>
      <c r="E39" t="s">
        <v>20</v>
      </c>
      <c r="F39">
        <v>19</v>
      </c>
      <c r="G39">
        <v>2765</v>
      </c>
      <c r="H39">
        <f t="shared" si="1"/>
        <v>52535</v>
      </c>
    </row>
    <row r="40" spans="1:8" x14ac:dyDescent="0.25">
      <c r="A40">
        <v>39</v>
      </c>
      <c r="B40" s="3">
        <v>40182</v>
      </c>
      <c r="C40" t="s">
        <v>12</v>
      </c>
      <c r="D40" t="s">
        <v>18</v>
      </c>
      <c r="E40" t="s">
        <v>20</v>
      </c>
      <c r="F40">
        <v>11</v>
      </c>
      <c r="G40">
        <v>2250</v>
      </c>
      <c r="H40">
        <f t="shared" si="1"/>
        <v>24750</v>
      </c>
    </row>
    <row r="41" spans="1:8" x14ac:dyDescent="0.25">
      <c r="A41">
        <v>40</v>
      </c>
      <c r="B41" s="3">
        <v>40183</v>
      </c>
      <c r="C41" t="s">
        <v>13</v>
      </c>
      <c r="D41" t="s">
        <v>19</v>
      </c>
      <c r="E41" t="s">
        <v>20</v>
      </c>
      <c r="F41">
        <v>15</v>
      </c>
      <c r="G41">
        <v>4597</v>
      </c>
      <c r="H41">
        <f t="shared" si="1"/>
        <v>68955</v>
      </c>
    </row>
    <row r="42" spans="1:8" x14ac:dyDescent="0.25">
      <c r="A42">
        <v>41</v>
      </c>
      <c r="B42" s="3">
        <v>40179</v>
      </c>
      <c r="C42" t="s">
        <v>11</v>
      </c>
      <c r="D42" t="s">
        <v>15</v>
      </c>
      <c r="E42" t="s">
        <v>21</v>
      </c>
      <c r="F42">
        <v>10</v>
      </c>
      <c r="G42">
        <v>4057</v>
      </c>
      <c r="H42">
        <f>F42*G42</f>
        <v>40570</v>
      </c>
    </row>
    <row r="43" spans="1:8" x14ac:dyDescent="0.25">
      <c r="A43">
        <v>42</v>
      </c>
      <c r="B43" s="3">
        <v>40180</v>
      </c>
      <c r="C43" t="s">
        <v>14</v>
      </c>
      <c r="D43" t="s">
        <v>16</v>
      </c>
      <c r="E43" t="s">
        <v>21</v>
      </c>
      <c r="F43">
        <v>18</v>
      </c>
      <c r="G43">
        <v>3809</v>
      </c>
      <c r="H43">
        <f t="shared" ref="H43:H56" si="2">F43*G43</f>
        <v>68562</v>
      </c>
    </row>
    <row r="44" spans="1:8" x14ac:dyDescent="0.25">
      <c r="A44">
        <v>43</v>
      </c>
      <c r="B44" s="3">
        <v>40181</v>
      </c>
      <c r="C44" t="s">
        <v>10</v>
      </c>
      <c r="D44" t="s">
        <v>17</v>
      </c>
      <c r="E44" t="s">
        <v>21</v>
      </c>
      <c r="F44">
        <v>16</v>
      </c>
      <c r="G44">
        <v>3987</v>
      </c>
      <c r="H44">
        <f t="shared" si="2"/>
        <v>63792</v>
      </c>
    </row>
    <row r="45" spans="1:8" x14ac:dyDescent="0.25">
      <c r="A45">
        <v>44</v>
      </c>
      <c r="B45" s="3">
        <v>40182</v>
      </c>
      <c r="C45" t="s">
        <v>8</v>
      </c>
      <c r="D45" t="s">
        <v>18</v>
      </c>
      <c r="E45" t="s">
        <v>21</v>
      </c>
      <c r="F45">
        <v>10</v>
      </c>
      <c r="G45">
        <v>2346</v>
      </c>
      <c r="H45">
        <f t="shared" si="2"/>
        <v>23460</v>
      </c>
    </row>
    <row r="46" spans="1:8" x14ac:dyDescent="0.25">
      <c r="A46">
        <v>45</v>
      </c>
      <c r="B46" s="3">
        <v>40183</v>
      </c>
      <c r="C46" t="s">
        <v>8</v>
      </c>
      <c r="D46" t="s">
        <v>19</v>
      </c>
      <c r="E46" t="s">
        <v>21</v>
      </c>
      <c r="F46">
        <v>8</v>
      </c>
      <c r="G46">
        <v>4953</v>
      </c>
      <c r="H46">
        <f t="shared" si="2"/>
        <v>39624</v>
      </c>
    </row>
    <row r="47" spans="1:8" x14ac:dyDescent="0.25">
      <c r="A47">
        <v>46</v>
      </c>
      <c r="B47" s="3">
        <v>40184</v>
      </c>
      <c r="C47" t="s">
        <v>11</v>
      </c>
      <c r="D47" t="s">
        <v>15</v>
      </c>
      <c r="E47" t="s">
        <v>21</v>
      </c>
      <c r="F47">
        <v>18</v>
      </c>
      <c r="G47">
        <v>4088</v>
      </c>
      <c r="H47">
        <f t="shared" si="2"/>
        <v>73584</v>
      </c>
    </row>
    <row r="48" spans="1:8" x14ac:dyDescent="0.25">
      <c r="A48">
        <v>47</v>
      </c>
      <c r="B48" s="3">
        <v>40185</v>
      </c>
      <c r="C48" t="s">
        <v>14</v>
      </c>
      <c r="D48" t="s">
        <v>16</v>
      </c>
      <c r="E48" t="s">
        <v>21</v>
      </c>
      <c r="F48">
        <v>15</v>
      </c>
      <c r="G48">
        <v>2531</v>
      </c>
      <c r="H48">
        <f t="shared" si="2"/>
        <v>37965</v>
      </c>
    </row>
    <row r="49" spans="1:8" x14ac:dyDescent="0.25">
      <c r="A49">
        <v>48</v>
      </c>
      <c r="B49" s="3">
        <v>40186</v>
      </c>
      <c r="C49" t="s">
        <v>10</v>
      </c>
      <c r="D49" t="s">
        <v>17</v>
      </c>
      <c r="E49" t="s">
        <v>21</v>
      </c>
      <c r="F49">
        <v>13</v>
      </c>
      <c r="G49">
        <v>4716</v>
      </c>
      <c r="H49">
        <f t="shared" si="2"/>
        <v>61308</v>
      </c>
    </row>
    <row r="50" spans="1:8" x14ac:dyDescent="0.25">
      <c r="A50">
        <v>49</v>
      </c>
      <c r="B50" s="3">
        <v>40187</v>
      </c>
      <c r="C50" t="s">
        <v>8</v>
      </c>
      <c r="D50" t="s">
        <v>18</v>
      </c>
      <c r="E50" t="s">
        <v>21</v>
      </c>
      <c r="F50">
        <v>11</v>
      </c>
      <c r="G50">
        <v>2806</v>
      </c>
      <c r="H50">
        <f t="shared" si="2"/>
        <v>30866</v>
      </c>
    </row>
    <row r="51" spans="1:8" x14ac:dyDescent="0.25">
      <c r="A51">
        <v>50</v>
      </c>
      <c r="B51" s="3">
        <v>40188</v>
      </c>
      <c r="C51" t="s">
        <v>8</v>
      </c>
      <c r="D51" t="s">
        <v>19</v>
      </c>
      <c r="E51" t="s">
        <v>21</v>
      </c>
      <c r="F51">
        <v>5</v>
      </c>
      <c r="G51">
        <v>3350</v>
      </c>
      <c r="H51">
        <f t="shared" si="2"/>
        <v>16750</v>
      </c>
    </row>
    <row r="52" spans="1:8" x14ac:dyDescent="0.25">
      <c r="A52">
        <v>51</v>
      </c>
      <c r="B52" s="3">
        <v>40184</v>
      </c>
      <c r="C52" t="s">
        <v>11</v>
      </c>
      <c r="D52" t="s">
        <v>15</v>
      </c>
      <c r="E52" t="s">
        <v>21</v>
      </c>
      <c r="F52">
        <v>18</v>
      </c>
      <c r="G52">
        <v>4088</v>
      </c>
      <c r="H52">
        <f t="shared" si="2"/>
        <v>73584</v>
      </c>
    </row>
    <row r="53" spans="1:8" x14ac:dyDescent="0.25">
      <c r="A53">
        <v>52</v>
      </c>
      <c r="B53" s="3">
        <v>40185</v>
      </c>
      <c r="C53" t="s">
        <v>14</v>
      </c>
      <c r="D53" t="s">
        <v>16</v>
      </c>
      <c r="E53" t="s">
        <v>21</v>
      </c>
      <c r="F53">
        <v>15</v>
      </c>
      <c r="G53">
        <v>2531</v>
      </c>
      <c r="H53">
        <f t="shared" si="2"/>
        <v>37965</v>
      </c>
    </row>
    <row r="54" spans="1:8" x14ac:dyDescent="0.25">
      <c r="A54">
        <v>53</v>
      </c>
      <c r="B54" s="3">
        <v>40186</v>
      </c>
      <c r="C54" t="s">
        <v>10</v>
      </c>
      <c r="D54" t="s">
        <v>17</v>
      </c>
      <c r="E54" t="s">
        <v>21</v>
      </c>
      <c r="F54">
        <v>13</v>
      </c>
      <c r="G54">
        <v>4716</v>
      </c>
      <c r="H54">
        <f t="shared" si="2"/>
        <v>61308</v>
      </c>
    </row>
    <row r="55" spans="1:8" x14ac:dyDescent="0.25">
      <c r="A55">
        <v>54</v>
      </c>
      <c r="B55" s="3">
        <v>40187</v>
      </c>
      <c r="C55" t="s">
        <v>8</v>
      </c>
      <c r="D55" t="s">
        <v>18</v>
      </c>
      <c r="E55" t="s">
        <v>21</v>
      </c>
      <c r="F55">
        <v>11</v>
      </c>
      <c r="G55">
        <v>2806</v>
      </c>
      <c r="H55">
        <f t="shared" si="2"/>
        <v>30866</v>
      </c>
    </row>
    <row r="56" spans="1:8" x14ac:dyDescent="0.25">
      <c r="A56">
        <v>55</v>
      </c>
      <c r="B56" s="3">
        <v>40188</v>
      </c>
      <c r="C56" t="s">
        <v>8</v>
      </c>
      <c r="D56" t="s">
        <v>19</v>
      </c>
      <c r="E56" t="s">
        <v>21</v>
      </c>
      <c r="F56">
        <v>5</v>
      </c>
      <c r="G56">
        <v>3350</v>
      </c>
      <c r="H56">
        <f t="shared" si="2"/>
        <v>16750</v>
      </c>
    </row>
    <row r="57" spans="1:8" x14ac:dyDescent="0.25">
      <c r="A57">
        <v>56</v>
      </c>
      <c r="B57" s="3">
        <v>40179</v>
      </c>
      <c r="C57" t="s">
        <v>11</v>
      </c>
      <c r="D57" t="s">
        <v>15</v>
      </c>
      <c r="E57" t="s">
        <v>21</v>
      </c>
      <c r="F57">
        <v>11</v>
      </c>
      <c r="G57">
        <v>2300</v>
      </c>
      <c r="H57">
        <f>F57*G57</f>
        <v>25300</v>
      </c>
    </row>
    <row r="58" spans="1:8" x14ac:dyDescent="0.25">
      <c r="A58">
        <v>57</v>
      </c>
      <c r="B58" s="3">
        <v>40180</v>
      </c>
      <c r="C58" t="s">
        <v>14</v>
      </c>
      <c r="D58" t="s">
        <v>16</v>
      </c>
      <c r="E58" t="s">
        <v>21</v>
      </c>
      <c r="F58">
        <v>12</v>
      </c>
      <c r="G58">
        <v>3200</v>
      </c>
      <c r="H58">
        <f t="shared" ref="H58:H61" si="3">F58*G58</f>
        <v>38400</v>
      </c>
    </row>
    <row r="59" spans="1:8" x14ac:dyDescent="0.25">
      <c r="A59">
        <v>58</v>
      </c>
      <c r="B59" s="3">
        <v>40181</v>
      </c>
      <c r="C59" t="s">
        <v>10</v>
      </c>
      <c r="D59" t="s">
        <v>17</v>
      </c>
      <c r="E59" t="s">
        <v>21</v>
      </c>
      <c r="F59">
        <v>13</v>
      </c>
      <c r="G59">
        <v>4100</v>
      </c>
      <c r="H59">
        <f t="shared" si="3"/>
        <v>53300</v>
      </c>
    </row>
    <row r="60" spans="1:8" x14ac:dyDescent="0.25">
      <c r="A60">
        <v>59</v>
      </c>
      <c r="B60" s="3">
        <v>40182</v>
      </c>
      <c r="C60" t="s">
        <v>8</v>
      </c>
      <c r="D60" t="s">
        <v>18</v>
      </c>
      <c r="E60" t="s">
        <v>21</v>
      </c>
      <c r="F60">
        <v>14</v>
      </c>
      <c r="G60">
        <v>3500</v>
      </c>
      <c r="H60">
        <f t="shared" si="3"/>
        <v>49000</v>
      </c>
    </row>
    <row r="61" spans="1:8" x14ac:dyDescent="0.25">
      <c r="A61">
        <v>60</v>
      </c>
      <c r="B61" s="3">
        <v>40183</v>
      </c>
      <c r="C61" t="s">
        <v>8</v>
      </c>
      <c r="D61" t="s">
        <v>19</v>
      </c>
      <c r="E61" t="s">
        <v>21</v>
      </c>
      <c r="F61">
        <v>15</v>
      </c>
      <c r="G61">
        <v>4800</v>
      </c>
      <c r="H61">
        <f t="shared" si="3"/>
        <v>72000</v>
      </c>
    </row>
    <row r="62" spans="1:8" x14ac:dyDescent="0.25">
      <c r="A62">
        <v>61</v>
      </c>
      <c r="B62" s="3">
        <v>40179</v>
      </c>
      <c r="C62" t="s">
        <v>13</v>
      </c>
      <c r="D62" t="s">
        <v>15</v>
      </c>
      <c r="E62" t="s">
        <v>22</v>
      </c>
      <c r="F62">
        <v>5</v>
      </c>
      <c r="G62">
        <v>3270</v>
      </c>
      <c r="H62">
        <f>F62*G62</f>
        <v>16350</v>
      </c>
    </row>
    <row r="63" spans="1:8" x14ac:dyDescent="0.25">
      <c r="A63">
        <v>62</v>
      </c>
      <c r="B63" s="3">
        <v>40180</v>
      </c>
      <c r="C63" t="s">
        <v>12</v>
      </c>
      <c r="D63" t="s">
        <v>16</v>
      </c>
      <c r="E63" t="s">
        <v>22</v>
      </c>
      <c r="F63">
        <v>17</v>
      </c>
      <c r="G63">
        <v>4245</v>
      </c>
      <c r="H63">
        <f t="shared" ref="H63:H77" si="4">F63*G63</f>
        <v>72165</v>
      </c>
    </row>
    <row r="64" spans="1:8" x14ac:dyDescent="0.25">
      <c r="A64">
        <v>63</v>
      </c>
      <c r="B64" s="3">
        <v>40181</v>
      </c>
      <c r="C64" t="s">
        <v>13</v>
      </c>
      <c r="D64" t="s">
        <v>17</v>
      </c>
      <c r="E64" t="s">
        <v>22</v>
      </c>
      <c r="F64">
        <v>5</v>
      </c>
      <c r="G64">
        <v>4864</v>
      </c>
      <c r="H64">
        <f t="shared" si="4"/>
        <v>24320</v>
      </c>
    </row>
    <row r="65" spans="1:8" x14ac:dyDescent="0.25">
      <c r="A65">
        <v>64</v>
      </c>
      <c r="B65" s="3">
        <v>40182</v>
      </c>
      <c r="C65" t="s">
        <v>13</v>
      </c>
      <c r="D65" t="s">
        <v>18</v>
      </c>
      <c r="E65" t="s">
        <v>22</v>
      </c>
      <c r="F65">
        <v>6</v>
      </c>
      <c r="G65">
        <v>2381</v>
      </c>
      <c r="H65">
        <f t="shared" si="4"/>
        <v>14286</v>
      </c>
    </row>
    <row r="66" spans="1:8" x14ac:dyDescent="0.25">
      <c r="A66">
        <v>65</v>
      </c>
      <c r="B66" s="3">
        <v>40183</v>
      </c>
      <c r="C66" t="s">
        <v>11</v>
      </c>
      <c r="D66" t="s">
        <v>19</v>
      </c>
      <c r="E66" t="s">
        <v>22</v>
      </c>
      <c r="F66">
        <v>10</v>
      </c>
      <c r="G66">
        <v>3503</v>
      </c>
      <c r="H66">
        <f t="shared" si="4"/>
        <v>35030</v>
      </c>
    </row>
    <row r="67" spans="1:8" x14ac:dyDescent="0.25">
      <c r="A67">
        <v>66</v>
      </c>
      <c r="B67" s="3">
        <v>40184</v>
      </c>
      <c r="C67" t="s">
        <v>13</v>
      </c>
      <c r="D67" t="s">
        <v>15</v>
      </c>
      <c r="E67" t="s">
        <v>22</v>
      </c>
      <c r="F67">
        <v>5</v>
      </c>
      <c r="G67">
        <v>3176</v>
      </c>
      <c r="H67">
        <f t="shared" si="4"/>
        <v>15880</v>
      </c>
    </row>
    <row r="68" spans="1:8" x14ac:dyDescent="0.25">
      <c r="A68">
        <v>67</v>
      </c>
      <c r="B68" s="3">
        <v>40185</v>
      </c>
      <c r="C68" t="s">
        <v>12</v>
      </c>
      <c r="D68" t="s">
        <v>16</v>
      </c>
      <c r="E68" t="s">
        <v>22</v>
      </c>
      <c r="F68">
        <v>12</v>
      </c>
      <c r="G68">
        <v>4192</v>
      </c>
      <c r="H68">
        <f t="shared" si="4"/>
        <v>50304</v>
      </c>
    </row>
    <row r="69" spans="1:8" x14ac:dyDescent="0.25">
      <c r="A69">
        <v>68</v>
      </c>
      <c r="B69" s="3">
        <v>40186</v>
      </c>
      <c r="C69" t="s">
        <v>13</v>
      </c>
      <c r="D69" t="s">
        <v>17</v>
      </c>
      <c r="E69" t="s">
        <v>22</v>
      </c>
      <c r="F69">
        <v>2</v>
      </c>
      <c r="G69">
        <v>4793</v>
      </c>
      <c r="H69">
        <f t="shared" si="4"/>
        <v>9586</v>
      </c>
    </row>
    <row r="70" spans="1:8" x14ac:dyDescent="0.25">
      <c r="A70">
        <v>69</v>
      </c>
      <c r="B70" s="3">
        <v>40187</v>
      </c>
      <c r="C70" t="s">
        <v>13</v>
      </c>
      <c r="D70" t="s">
        <v>18</v>
      </c>
      <c r="E70" t="s">
        <v>22</v>
      </c>
      <c r="F70">
        <v>5</v>
      </c>
      <c r="G70">
        <v>2204</v>
      </c>
      <c r="H70">
        <f t="shared" si="4"/>
        <v>11020</v>
      </c>
    </row>
    <row r="71" spans="1:8" x14ac:dyDescent="0.25">
      <c r="A71">
        <v>70</v>
      </c>
      <c r="B71" s="3">
        <v>40188</v>
      </c>
      <c r="C71" t="s">
        <v>11</v>
      </c>
      <c r="D71" t="s">
        <v>19</v>
      </c>
      <c r="E71" t="s">
        <v>22</v>
      </c>
      <c r="F71">
        <v>18</v>
      </c>
      <c r="G71">
        <v>4183</v>
      </c>
      <c r="H71">
        <f t="shared" si="4"/>
        <v>75294</v>
      </c>
    </row>
    <row r="72" spans="1:8" x14ac:dyDescent="0.25">
      <c r="A72">
        <v>71</v>
      </c>
      <c r="B72" s="3">
        <v>40183</v>
      </c>
      <c r="C72" t="s">
        <v>11</v>
      </c>
      <c r="D72" t="s">
        <v>19</v>
      </c>
      <c r="E72" t="s">
        <v>22</v>
      </c>
      <c r="F72">
        <v>10</v>
      </c>
      <c r="G72">
        <v>3503</v>
      </c>
      <c r="H72">
        <f t="shared" si="4"/>
        <v>35030</v>
      </c>
    </row>
    <row r="73" spans="1:8" x14ac:dyDescent="0.25">
      <c r="A73">
        <v>72</v>
      </c>
      <c r="B73" s="3">
        <v>40184</v>
      </c>
      <c r="C73" t="s">
        <v>13</v>
      </c>
      <c r="D73" t="s">
        <v>15</v>
      </c>
      <c r="E73" t="s">
        <v>22</v>
      </c>
      <c r="F73">
        <v>5</v>
      </c>
      <c r="G73">
        <v>3176</v>
      </c>
      <c r="H73">
        <f t="shared" si="4"/>
        <v>15880</v>
      </c>
    </row>
    <row r="74" spans="1:8" x14ac:dyDescent="0.25">
      <c r="A74">
        <v>73</v>
      </c>
      <c r="B74" s="3">
        <v>40185</v>
      </c>
      <c r="C74" t="s">
        <v>12</v>
      </c>
      <c r="D74" t="s">
        <v>16</v>
      </c>
      <c r="E74" t="s">
        <v>22</v>
      </c>
      <c r="F74">
        <v>12</v>
      </c>
      <c r="G74">
        <v>4192</v>
      </c>
      <c r="H74">
        <f t="shared" si="4"/>
        <v>50304</v>
      </c>
    </row>
    <row r="75" spans="1:8" x14ac:dyDescent="0.25">
      <c r="A75">
        <v>74</v>
      </c>
      <c r="B75" s="3">
        <v>40186</v>
      </c>
      <c r="C75" t="s">
        <v>13</v>
      </c>
      <c r="D75" t="s">
        <v>17</v>
      </c>
      <c r="E75" t="s">
        <v>22</v>
      </c>
      <c r="F75">
        <v>2</v>
      </c>
      <c r="G75">
        <v>4793</v>
      </c>
      <c r="H75">
        <f t="shared" si="4"/>
        <v>9586</v>
      </c>
    </row>
    <row r="76" spans="1:8" x14ac:dyDescent="0.25">
      <c r="A76">
        <v>75</v>
      </c>
      <c r="B76" s="3">
        <v>40187</v>
      </c>
      <c r="C76" t="s">
        <v>13</v>
      </c>
      <c r="D76" t="s">
        <v>18</v>
      </c>
      <c r="E76" t="s">
        <v>22</v>
      </c>
      <c r="F76">
        <v>5</v>
      </c>
      <c r="G76">
        <v>2204</v>
      </c>
      <c r="H76">
        <f t="shared" si="4"/>
        <v>11020</v>
      </c>
    </row>
    <row r="77" spans="1:8" x14ac:dyDescent="0.25">
      <c r="A77">
        <v>76</v>
      </c>
      <c r="B77" s="3">
        <v>40188</v>
      </c>
      <c r="C77" t="s">
        <v>11</v>
      </c>
      <c r="D77" t="s">
        <v>19</v>
      </c>
      <c r="E77" t="s">
        <v>22</v>
      </c>
      <c r="F77">
        <v>18</v>
      </c>
      <c r="G77">
        <v>4183</v>
      </c>
      <c r="H77">
        <f t="shared" si="4"/>
        <v>75294</v>
      </c>
    </row>
    <row r="78" spans="1:8" x14ac:dyDescent="0.25">
      <c r="A78">
        <v>77</v>
      </c>
      <c r="B78" s="3">
        <v>40179</v>
      </c>
      <c r="C78" t="s">
        <v>13</v>
      </c>
      <c r="D78" t="s">
        <v>15</v>
      </c>
      <c r="E78" t="s">
        <v>22</v>
      </c>
      <c r="F78">
        <v>10</v>
      </c>
      <c r="G78">
        <v>5000</v>
      </c>
      <c r="H78">
        <f>F78*G78</f>
        <v>50000</v>
      </c>
    </row>
    <row r="79" spans="1:8" x14ac:dyDescent="0.25">
      <c r="A79">
        <v>78</v>
      </c>
      <c r="B79" s="3">
        <v>40180</v>
      </c>
      <c r="C79" t="s">
        <v>12</v>
      </c>
      <c r="D79" t="s">
        <v>16</v>
      </c>
      <c r="E79" t="s">
        <v>22</v>
      </c>
      <c r="F79">
        <v>13</v>
      </c>
      <c r="G79">
        <v>4300</v>
      </c>
      <c r="H79">
        <f t="shared" ref="H79:H82" si="5">F79*G79</f>
        <v>55900</v>
      </c>
    </row>
    <row r="80" spans="1:8" x14ac:dyDescent="0.25">
      <c r="A80">
        <v>79</v>
      </c>
      <c r="B80" s="3">
        <v>40181</v>
      </c>
      <c r="C80" t="s">
        <v>13</v>
      </c>
      <c r="D80" t="s">
        <v>17</v>
      </c>
      <c r="E80" t="s">
        <v>22</v>
      </c>
      <c r="F80">
        <v>14</v>
      </c>
      <c r="G80">
        <v>2390</v>
      </c>
      <c r="H80">
        <f t="shared" si="5"/>
        <v>33460</v>
      </c>
    </row>
    <row r="81" spans="1:8" x14ac:dyDescent="0.25">
      <c r="A81">
        <v>80</v>
      </c>
      <c r="B81" s="3">
        <v>40182</v>
      </c>
      <c r="C81" t="s">
        <v>13</v>
      </c>
      <c r="D81" t="s">
        <v>18</v>
      </c>
      <c r="E81" t="s">
        <v>22</v>
      </c>
      <c r="F81">
        <v>17</v>
      </c>
      <c r="G81">
        <v>4444</v>
      </c>
      <c r="H81">
        <f t="shared" si="5"/>
        <v>75548</v>
      </c>
    </row>
    <row r="82" spans="1:8" x14ac:dyDescent="0.25">
      <c r="A82">
        <v>81</v>
      </c>
      <c r="B82" s="3">
        <v>40183</v>
      </c>
      <c r="C82" t="s">
        <v>11</v>
      </c>
      <c r="D82" t="s">
        <v>19</v>
      </c>
      <c r="E82" t="s">
        <v>22</v>
      </c>
      <c r="F82">
        <v>19</v>
      </c>
      <c r="G82">
        <v>3322</v>
      </c>
      <c r="H82">
        <f t="shared" si="5"/>
        <v>63118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21"/>
  <sheetViews>
    <sheetView workbookViewId="0">
      <selection sqref="A1:H21"/>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10</v>
      </c>
      <c r="D2" t="s">
        <v>15</v>
      </c>
      <c r="E2" t="s">
        <v>9</v>
      </c>
      <c r="F2">
        <v>16</v>
      </c>
      <c r="G2">
        <v>2195</v>
      </c>
      <c r="H2">
        <f>F2*G2</f>
        <v>35120</v>
      </c>
    </row>
    <row r="3" spans="1:8" x14ac:dyDescent="0.25">
      <c r="A3">
        <v>2</v>
      </c>
      <c r="B3" s="3">
        <v>40180</v>
      </c>
      <c r="C3" t="s">
        <v>8</v>
      </c>
      <c r="D3" t="s">
        <v>16</v>
      </c>
      <c r="E3" t="s">
        <v>9</v>
      </c>
      <c r="F3">
        <v>16</v>
      </c>
      <c r="G3">
        <v>3971</v>
      </c>
      <c r="H3">
        <f t="shared" ref="H3:H11" si="0">F3*G3</f>
        <v>63536</v>
      </c>
    </row>
    <row r="4" spans="1:8" x14ac:dyDescent="0.25">
      <c r="A4">
        <v>3</v>
      </c>
      <c r="B4" s="3">
        <v>40181</v>
      </c>
      <c r="C4" t="s">
        <v>12</v>
      </c>
      <c r="D4" t="s">
        <v>17</v>
      </c>
      <c r="E4" t="s">
        <v>9</v>
      </c>
      <c r="F4">
        <v>11</v>
      </c>
      <c r="G4">
        <v>4859</v>
      </c>
      <c r="H4">
        <f t="shared" si="0"/>
        <v>53449</v>
      </c>
    </row>
    <row r="5" spans="1:8" x14ac:dyDescent="0.25">
      <c r="A5">
        <v>4</v>
      </c>
      <c r="B5" s="3">
        <v>40182</v>
      </c>
      <c r="C5" t="s">
        <v>11</v>
      </c>
      <c r="D5" t="s">
        <v>18</v>
      </c>
      <c r="E5" t="s">
        <v>9</v>
      </c>
      <c r="F5">
        <v>16</v>
      </c>
      <c r="G5">
        <v>2055</v>
      </c>
      <c r="H5">
        <f t="shared" si="0"/>
        <v>32880</v>
      </c>
    </row>
    <row r="6" spans="1:8" x14ac:dyDescent="0.25">
      <c r="A6">
        <v>5</v>
      </c>
      <c r="B6" s="3">
        <v>40183</v>
      </c>
      <c r="C6" t="s">
        <v>14</v>
      </c>
      <c r="D6" t="s">
        <v>19</v>
      </c>
      <c r="E6" t="s">
        <v>9</v>
      </c>
      <c r="F6">
        <v>17</v>
      </c>
      <c r="G6">
        <v>3892</v>
      </c>
      <c r="H6">
        <f t="shared" si="0"/>
        <v>66164</v>
      </c>
    </row>
    <row r="7" spans="1:8" x14ac:dyDescent="0.25">
      <c r="A7">
        <v>6</v>
      </c>
      <c r="B7" s="3">
        <v>40184</v>
      </c>
      <c r="C7" t="s">
        <v>10</v>
      </c>
      <c r="D7" t="s">
        <v>15</v>
      </c>
      <c r="E7" t="s">
        <v>9</v>
      </c>
      <c r="F7">
        <v>11</v>
      </c>
      <c r="G7">
        <v>4640</v>
      </c>
      <c r="H7">
        <f t="shared" si="0"/>
        <v>51040</v>
      </c>
    </row>
    <row r="8" spans="1:8" x14ac:dyDescent="0.25">
      <c r="A8">
        <v>7</v>
      </c>
      <c r="B8" s="3">
        <v>40185</v>
      </c>
      <c r="C8" t="s">
        <v>8</v>
      </c>
      <c r="D8" t="s">
        <v>16</v>
      </c>
      <c r="E8" t="s">
        <v>9</v>
      </c>
      <c r="F8">
        <v>16</v>
      </c>
      <c r="G8">
        <v>4610</v>
      </c>
      <c r="H8">
        <f t="shared" si="0"/>
        <v>73760</v>
      </c>
    </row>
    <row r="9" spans="1:8" x14ac:dyDescent="0.25">
      <c r="A9">
        <v>8</v>
      </c>
      <c r="B9" s="3">
        <v>40186</v>
      </c>
      <c r="C9" t="s">
        <v>12</v>
      </c>
      <c r="D9" t="s">
        <v>17</v>
      </c>
      <c r="E9" t="s">
        <v>9</v>
      </c>
      <c r="F9">
        <v>18</v>
      </c>
      <c r="G9">
        <v>2221</v>
      </c>
      <c r="H9">
        <f t="shared" si="0"/>
        <v>39978</v>
      </c>
    </row>
    <row r="10" spans="1:8" x14ac:dyDescent="0.25">
      <c r="A10">
        <v>9</v>
      </c>
      <c r="B10" s="3">
        <v>40187</v>
      </c>
      <c r="C10" t="s">
        <v>11</v>
      </c>
      <c r="D10" t="s">
        <v>18</v>
      </c>
      <c r="E10" t="s">
        <v>9</v>
      </c>
      <c r="F10">
        <v>14</v>
      </c>
      <c r="G10">
        <v>3949</v>
      </c>
      <c r="H10">
        <f t="shared" si="0"/>
        <v>55286</v>
      </c>
    </row>
    <row r="11" spans="1:8" x14ac:dyDescent="0.25">
      <c r="A11">
        <v>10</v>
      </c>
      <c r="B11" s="3">
        <v>40188</v>
      </c>
      <c r="C11" t="s">
        <v>14</v>
      </c>
      <c r="D11" t="s">
        <v>19</v>
      </c>
      <c r="E11" t="s">
        <v>9</v>
      </c>
      <c r="F11">
        <v>14</v>
      </c>
      <c r="G11">
        <v>2943</v>
      </c>
      <c r="H11">
        <f t="shared" si="0"/>
        <v>41202</v>
      </c>
    </row>
    <row r="12" spans="1:8" x14ac:dyDescent="0.25">
      <c r="A12">
        <v>11</v>
      </c>
      <c r="B12" s="3">
        <v>40184</v>
      </c>
      <c r="C12" t="s">
        <v>10</v>
      </c>
      <c r="D12" t="s">
        <v>15</v>
      </c>
      <c r="E12" t="s">
        <v>9</v>
      </c>
      <c r="F12">
        <v>11</v>
      </c>
      <c r="G12">
        <v>4640</v>
      </c>
      <c r="H12">
        <f t="shared" ref="H12:H21" si="1">F12*G12</f>
        <v>51040</v>
      </c>
    </row>
    <row r="13" spans="1:8" x14ac:dyDescent="0.25">
      <c r="A13">
        <v>12</v>
      </c>
      <c r="B13" s="3">
        <v>40185</v>
      </c>
      <c r="C13" t="s">
        <v>8</v>
      </c>
      <c r="D13" t="s">
        <v>16</v>
      </c>
      <c r="E13" t="s">
        <v>9</v>
      </c>
      <c r="F13">
        <v>16</v>
      </c>
      <c r="G13">
        <v>4610</v>
      </c>
      <c r="H13">
        <f t="shared" si="1"/>
        <v>73760</v>
      </c>
    </row>
    <row r="14" spans="1:8" x14ac:dyDescent="0.25">
      <c r="A14">
        <v>13</v>
      </c>
      <c r="B14" s="3">
        <v>40186</v>
      </c>
      <c r="C14" t="s">
        <v>12</v>
      </c>
      <c r="D14" t="s">
        <v>17</v>
      </c>
      <c r="E14" t="s">
        <v>9</v>
      </c>
      <c r="F14">
        <v>18</v>
      </c>
      <c r="G14">
        <v>2221</v>
      </c>
      <c r="H14">
        <f t="shared" si="1"/>
        <v>39978</v>
      </c>
    </row>
    <row r="15" spans="1:8" x14ac:dyDescent="0.25">
      <c r="A15">
        <v>14</v>
      </c>
      <c r="B15" s="3">
        <v>40187</v>
      </c>
      <c r="C15" t="s">
        <v>11</v>
      </c>
      <c r="D15" t="s">
        <v>18</v>
      </c>
      <c r="E15" t="s">
        <v>9</v>
      </c>
      <c r="F15">
        <v>14</v>
      </c>
      <c r="G15">
        <v>3949</v>
      </c>
      <c r="H15">
        <f t="shared" si="1"/>
        <v>55286</v>
      </c>
    </row>
    <row r="16" spans="1:8" x14ac:dyDescent="0.25">
      <c r="A16">
        <v>15</v>
      </c>
      <c r="B16" s="3">
        <v>40188</v>
      </c>
      <c r="C16" t="s">
        <v>14</v>
      </c>
      <c r="D16" t="s">
        <v>19</v>
      </c>
      <c r="E16" t="s">
        <v>9</v>
      </c>
      <c r="F16">
        <v>14</v>
      </c>
      <c r="G16">
        <v>2943</v>
      </c>
      <c r="H16">
        <f t="shared" si="1"/>
        <v>41202</v>
      </c>
    </row>
    <row r="17" spans="1:8" x14ac:dyDescent="0.25">
      <c r="A17">
        <v>16</v>
      </c>
      <c r="B17" s="3">
        <v>40179</v>
      </c>
      <c r="C17" t="s">
        <v>10</v>
      </c>
      <c r="D17" t="s">
        <v>15</v>
      </c>
      <c r="E17" t="s">
        <v>9</v>
      </c>
      <c r="F17" s="14">
        <v>20</v>
      </c>
      <c r="G17" s="14">
        <v>2843</v>
      </c>
      <c r="H17" s="14">
        <f t="shared" si="1"/>
        <v>56860</v>
      </c>
    </row>
    <row r="18" spans="1:8" x14ac:dyDescent="0.25">
      <c r="A18">
        <v>17</v>
      </c>
      <c r="B18" s="3">
        <v>40180</v>
      </c>
      <c r="C18" t="s">
        <v>8</v>
      </c>
      <c r="D18" t="s">
        <v>16</v>
      </c>
      <c r="E18" t="s">
        <v>9</v>
      </c>
      <c r="F18" s="14">
        <v>22</v>
      </c>
      <c r="G18" s="14">
        <v>3119</v>
      </c>
      <c r="H18" s="14">
        <f t="shared" si="1"/>
        <v>68618</v>
      </c>
    </row>
    <row r="19" spans="1:8" x14ac:dyDescent="0.25">
      <c r="A19">
        <v>18</v>
      </c>
      <c r="B19" s="3">
        <v>40181</v>
      </c>
      <c r="C19" t="s">
        <v>12</v>
      </c>
      <c r="D19" t="s">
        <v>17</v>
      </c>
      <c r="E19" t="s">
        <v>9</v>
      </c>
      <c r="F19" s="14">
        <v>24</v>
      </c>
      <c r="G19" s="14">
        <v>2500</v>
      </c>
      <c r="H19" s="14">
        <f t="shared" si="1"/>
        <v>60000</v>
      </c>
    </row>
    <row r="20" spans="1:8" x14ac:dyDescent="0.25">
      <c r="A20">
        <v>19</v>
      </c>
      <c r="B20" s="3">
        <v>40182</v>
      </c>
      <c r="C20" t="s">
        <v>11</v>
      </c>
      <c r="D20" t="s">
        <v>18</v>
      </c>
      <c r="E20" t="s">
        <v>9</v>
      </c>
      <c r="F20" s="14">
        <v>26</v>
      </c>
      <c r="G20" s="14">
        <v>4437</v>
      </c>
      <c r="H20" s="14">
        <f t="shared" si="1"/>
        <v>115362</v>
      </c>
    </row>
    <row r="21" spans="1:8" x14ac:dyDescent="0.25">
      <c r="A21">
        <v>20</v>
      </c>
      <c r="B21" s="3">
        <v>40183</v>
      </c>
      <c r="C21" t="s">
        <v>14</v>
      </c>
      <c r="D21" t="s">
        <v>19</v>
      </c>
      <c r="E21" t="s">
        <v>9</v>
      </c>
      <c r="F21" s="14">
        <v>28</v>
      </c>
      <c r="G21" s="14">
        <v>2999</v>
      </c>
      <c r="H21" s="14">
        <f t="shared" si="1"/>
        <v>83972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1"/>
  <sheetViews>
    <sheetView workbookViewId="0">
      <selection activeCell="A2" sqref="A2:H21"/>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8</v>
      </c>
      <c r="D2" t="s">
        <v>15</v>
      </c>
      <c r="E2" t="s">
        <v>20</v>
      </c>
      <c r="F2">
        <v>16</v>
      </c>
      <c r="G2">
        <v>2856</v>
      </c>
      <c r="H2">
        <f>F2*G2</f>
        <v>45696</v>
      </c>
    </row>
    <row r="3" spans="1:8" x14ac:dyDescent="0.25">
      <c r="A3">
        <v>2</v>
      </c>
      <c r="B3" s="3">
        <v>40180</v>
      </c>
      <c r="C3" t="s">
        <v>10</v>
      </c>
      <c r="D3" t="s">
        <v>16</v>
      </c>
      <c r="E3" t="s">
        <v>20</v>
      </c>
      <c r="F3">
        <v>13</v>
      </c>
      <c r="G3">
        <v>2722</v>
      </c>
      <c r="H3">
        <f t="shared" ref="H3:H11" si="0">F3*G3</f>
        <v>35386</v>
      </c>
    </row>
    <row r="4" spans="1:8" x14ac:dyDescent="0.25">
      <c r="A4">
        <v>3</v>
      </c>
      <c r="B4" s="3">
        <v>40181</v>
      </c>
      <c r="C4" t="s">
        <v>11</v>
      </c>
      <c r="D4" t="s">
        <v>17</v>
      </c>
      <c r="E4" t="s">
        <v>20</v>
      </c>
      <c r="F4">
        <v>18</v>
      </c>
      <c r="G4">
        <v>2900</v>
      </c>
      <c r="H4">
        <f t="shared" si="0"/>
        <v>52200</v>
      </c>
    </row>
    <row r="5" spans="1:8" x14ac:dyDescent="0.25">
      <c r="A5">
        <v>4</v>
      </c>
      <c r="B5" s="3">
        <v>40182</v>
      </c>
      <c r="C5" t="s">
        <v>12</v>
      </c>
      <c r="D5" t="s">
        <v>18</v>
      </c>
      <c r="E5" t="s">
        <v>20</v>
      </c>
      <c r="F5">
        <v>13</v>
      </c>
      <c r="G5">
        <v>2236</v>
      </c>
      <c r="H5">
        <f t="shared" si="0"/>
        <v>29068</v>
      </c>
    </row>
    <row r="6" spans="1:8" x14ac:dyDescent="0.25">
      <c r="A6">
        <v>5</v>
      </c>
      <c r="B6" s="3">
        <v>40183</v>
      </c>
      <c r="C6" t="s">
        <v>13</v>
      </c>
      <c r="D6" t="s">
        <v>19</v>
      </c>
      <c r="E6" t="s">
        <v>20</v>
      </c>
      <c r="F6">
        <v>10</v>
      </c>
      <c r="G6">
        <v>4569</v>
      </c>
      <c r="H6">
        <f t="shared" si="0"/>
        <v>45690</v>
      </c>
    </row>
    <row r="7" spans="1:8" x14ac:dyDescent="0.25">
      <c r="A7">
        <v>6</v>
      </c>
      <c r="B7" s="3">
        <v>40184</v>
      </c>
      <c r="C7" t="s">
        <v>8</v>
      </c>
      <c r="D7" t="s">
        <v>15</v>
      </c>
      <c r="E7" t="s">
        <v>20</v>
      </c>
      <c r="F7">
        <v>11</v>
      </c>
      <c r="G7">
        <v>3782</v>
      </c>
      <c r="H7">
        <f t="shared" si="0"/>
        <v>41602</v>
      </c>
    </row>
    <row r="8" spans="1:8" x14ac:dyDescent="0.25">
      <c r="A8">
        <v>7</v>
      </c>
      <c r="B8" s="3">
        <v>40185</v>
      </c>
      <c r="C8" t="s">
        <v>10</v>
      </c>
      <c r="D8" t="s">
        <v>16</v>
      </c>
      <c r="E8" t="s">
        <v>20</v>
      </c>
      <c r="F8">
        <v>15</v>
      </c>
      <c r="G8">
        <v>2823</v>
      </c>
      <c r="H8">
        <f t="shared" si="0"/>
        <v>42345</v>
      </c>
    </row>
    <row r="9" spans="1:8" x14ac:dyDescent="0.25">
      <c r="A9">
        <v>8</v>
      </c>
      <c r="B9" s="3">
        <v>40186</v>
      </c>
      <c r="C9" t="s">
        <v>11</v>
      </c>
      <c r="D9" t="s">
        <v>17</v>
      </c>
      <c r="E9" t="s">
        <v>20</v>
      </c>
      <c r="F9">
        <v>12</v>
      </c>
      <c r="G9">
        <v>4729</v>
      </c>
      <c r="H9">
        <f t="shared" si="0"/>
        <v>56748</v>
      </c>
    </row>
    <row r="10" spans="1:8" x14ac:dyDescent="0.25">
      <c r="A10">
        <v>9</v>
      </c>
      <c r="B10" s="3">
        <v>40187</v>
      </c>
      <c r="C10" t="s">
        <v>12</v>
      </c>
      <c r="D10" t="s">
        <v>18</v>
      </c>
      <c r="E10" t="s">
        <v>20</v>
      </c>
      <c r="F10">
        <v>12</v>
      </c>
      <c r="G10">
        <v>4007</v>
      </c>
      <c r="H10">
        <f t="shared" si="0"/>
        <v>48084</v>
      </c>
    </row>
    <row r="11" spans="1:8" x14ac:dyDescent="0.25">
      <c r="A11">
        <v>10</v>
      </c>
      <c r="B11" s="3">
        <v>40188</v>
      </c>
      <c r="C11" t="s">
        <v>13</v>
      </c>
      <c r="D11" t="s">
        <v>19</v>
      </c>
      <c r="E11" t="s">
        <v>20</v>
      </c>
      <c r="F11">
        <v>10</v>
      </c>
      <c r="G11">
        <v>3459</v>
      </c>
      <c r="H11">
        <f t="shared" si="0"/>
        <v>34590</v>
      </c>
    </row>
    <row r="12" spans="1:8" x14ac:dyDescent="0.25">
      <c r="A12">
        <v>11</v>
      </c>
      <c r="B12" s="3">
        <v>40184</v>
      </c>
      <c r="C12" t="s">
        <v>8</v>
      </c>
      <c r="D12" t="s">
        <v>15</v>
      </c>
      <c r="E12" t="s">
        <v>20</v>
      </c>
      <c r="F12">
        <v>11</v>
      </c>
      <c r="G12">
        <v>3782</v>
      </c>
      <c r="H12">
        <f t="shared" ref="H12:H21" si="1">F12*G12</f>
        <v>41602</v>
      </c>
    </row>
    <row r="13" spans="1:8" x14ac:dyDescent="0.25">
      <c r="A13">
        <v>12</v>
      </c>
      <c r="B13" s="3">
        <v>40185</v>
      </c>
      <c r="C13" t="s">
        <v>10</v>
      </c>
      <c r="D13" t="s">
        <v>16</v>
      </c>
      <c r="E13" t="s">
        <v>20</v>
      </c>
      <c r="F13">
        <v>15</v>
      </c>
      <c r="G13">
        <v>2823</v>
      </c>
      <c r="H13">
        <f t="shared" si="1"/>
        <v>42345</v>
      </c>
    </row>
    <row r="14" spans="1:8" x14ac:dyDescent="0.25">
      <c r="A14">
        <v>13</v>
      </c>
      <c r="B14" s="3">
        <v>40186</v>
      </c>
      <c r="C14" t="s">
        <v>11</v>
      </c>
      <c r="D14" t="s">
        <v>17</v>
      </c>
      <c r="E14" t="s">
        <v>20</v>
      </c>
      <c r="F14">
        <v>12</v>
      </c>
      <c r="G14">
        <v>4729</v>
      </c>
      <c r="H14">
        <f t="shared" si="1"/>
        <v>56748</v>
      </c>
    </row>
    <row r="15" spans="1:8" x14ac:dyDescent="0.25">
      <c r="A15">
        <v>14</v>
      </c>
      <c r="B15" s="3">
        <v>40187</v>
      </c>
      <c r="C15" t="s">
        <v>12</v>
      </c>
      <c r="D15" t="s">
        <v>18</v>
      </c>
      <c r="E15" t="s">
        <v>20</v>
      </c>
      <c r="F15">
        <v>12</v>
      </c>
      <c r="G15">
        <v>4007</v>
      </c>
      <c r="H15">
        <f t="shared" si="1"/>
        <v>48084</v>
      </c>
    </row>
    <row r="16" spans="1:8" x14ac:dyDescent="0.25">
      <c r="A16">
        <v>15</v>
      </c>
      <c r="B16" s="3">
        <v>40188</v>
      </c>
      <c r="C16" t="s">
        <v>13</v>
      </c>
      <c r="D16" t="s">
        <v>19</v>
      </c>
      <c r="E16" t="s">
        <v>20</v>
      </c>
      <c r="F16">
        <v>10</v>
      </c>
      <c r="G16">
        <v>3459</v>
      </c>
      <c r="H16">
        <f t="shared" si="1"/>
        <v>34590</v>
      </c>
    </row>
    <row r="17" spans="1:8" x14ac:dyDescent="0.25">
      <c r="A17">
        <v>16</v>
      </c>
      <c r="B17" s="3">
        <v>40179</v>
      </c>
      <c r="C17" t="s">
        <v>8</v>
      </c>
      <c r="D17" t="s">
        <v>15</v>
      </c>
      <c r="E17" t="s">
        <v>20</v>
      </c>
      <c r="F17">
        <v>17</v>
      </c>
      <c r="G17">
        <v>2467</v>
      </c>
      <c r="H17">
        <f t="shared" si="1"/>
        <v>41939</v>
      </c>
    </row>
    <row r="18" spans="1:8" x14ac:dyDescent="0.25">
      <c r="A18">
        <v>17</v>
      </c>
      <c r="B18" s="3">
        <v>40180</v>
      </c>
      <c r="C18" t="s">
        <v>10</v>
      </c>
      <c r="D18" t="s">
        <v>16</v>
      </c>
      <c r="E18" t="s">
        <v>20</v>
      </c>
      <c r="F18">
        <v>14</v>
      </c>
      <c r="G18">
        <v>3126</v>
      </c>
      <c r="H18">
        <f t="shared" si="1"/>
        <v>43764</v>
      </c>
    </row>
    <row r="19" spans="1:8" x14ac:dyDescent="0.25">
      <c r="A19">
        <v>18</v>
      </c>
      <c r="B19" s="3">
        <v>40181</v>
      </c>
      <c r="C19" t="s">
        <v>11</v>
      </c>
      <c r="D19" t="s">
        <v>17</v>
      </c>
      <c r="E19" t="s">
        <v>20</v>
      </c>
      <c r="F19">
        <v>19</v>
      </c>
      <c r="G19">
        <v>2765</v>
      </c>
      <c r="H19">
        <f t="shared" si="1"/>
        <v>52535</v>
      </c>
    </row>
    <row r="20" spans="1:8" x14ac:dyDescent="0.25">
      <c r="A20">
        <v>19</v>
      </c>
      <c r="B20" s="3">
        <v>40182</v>
      </c>
      <c r="C20" t="s">
        <v>12</v>
      </c>
      <c r="D20" t="s">
        <v>18</v>
      </c>
      <c r="E20" t="s">
        <v>20</v>
      </c>
      <c r="F20">
        <v>11</v>
      </c>
      <c r="G20">
        <v>2250</v>
      </c>
      <c r="H20">
        <f t="shared" si="1"/>
        <v>24750</v>
      </c>
    </row>
    <row r="21" spans="1:8" x14ac:dyDescent="0.25">
      <c r="A21">
        <v>20</v>
      </c>
      <c r="B21" s="3">
        <v>40183</v>
      </c>
      <c r="C21" t="s">
        <v>13</v>
      </c>
      <c r="D21" t="s">
        <v>19</v>
      </c>
      <c r="E21" t="s">
        <v>20</v>
      </c>
      <c r="F21">
        <v>15</v>
      </c>
      <c r="G21">
        <v>4597</v>
      </c>
      <c r="H21">
        <f t="shared" si="1"/>
        <v>68955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21"/>
  <sheetViews>
    <sheetView workbookViewId="0">
      <selection activeCell="A2" sqref="A2:H21"/>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11</v>
      </c>
      <c r="D2" t="s">
        <v>15</v>
      </c>
      <c r="E2" t="s">
        <v>21</v>
      </c>
      <c r="F2">
        <v>10</v>
      </c>
      <c r="G2">
        <v>4057</v>
      </c>
      <c r="H2">
        <f>F2*G2</f>
        <v>40570</v>
      </c>
    </row>
    <row r="3" spans="1:8" x14ac:dyDescent="0.25">
      <c r="A3">
        <v>2</v>
      </c>
      <c r="B3" s="3">
        <v>40180</v>
      </c>
      <c r="C3" t="s">
        <v>14</v>
      </c>
      <c r="D3" t="s">
        <v>16</v>
      </c>
      <c r="E3" t="s">
        <v>21</v>
      </c>
      <c r="F3">
        <v>18</v>
      </c>
      <c r="G3">
        <v>3809</v>
      </c>
      <c r="H3">
        <f t="shared" ref="H3:H11" si="0">F3*G3</f>
        <v>68562</v>
      </c>
    </row>
    <row r="4" spans="1:8" x14ac:dyDescent="0.25">
      <c r="A4">
        <v>3</v>
      </c>
      <c r="B4" s="3">
        <v>40181</v>
      </c>
      <c r="C4" t="s">
        <v>10</v>
      </c>
      <c r="D4" t="s">
        <v>17</v>
      </c>
      <c r="E4" t="s">
        <v>21</v>
      </c>
      <c r="F4">
        <v>16</v>
      </c>
      <c r="G4">
        <v>3987</v>
      </c>
      <c r="H4">
        <f t="shared" si="0"/>
        <v>63792</v>
      </c>
    </row>
    <row r="5" spans="1:8" x14ac:dyDescent="0.25">
      <c r="A5">
        <v>4</v>
      </c>
      <c r="B5" s="3">
        <v>40182</v>
      </c>
      <c r="C5" t="s">
        <v>8</v>
      </c>
      <c r="D5" t="s">
        <v>18</v>
      </c>
      <c r="E5" t="s">
        <v>21</v>
      </c>
      <c r="F5">
        <v>10</v>
      </c>
      <c r="G5">
        <v>2346</v>
      </c>
      <c r="H5">
        <f t="shared" si="0"/>
        <v>23460</v>
      </c>
    </row>
    <row r="6" spans="1:8" x14ac:dyDescent="0.25">
      <c r="A6">
        <v>5</v>
      </c>
      <c r="B6" s="3">
        <v>40183</v>
      </c>
      <c r="C6" t="s">
        <v>8</v>
      </c>
      <c r="D6" t="s">
        <v>19</v>
      </c>
      <c r="E6" t="s">
        <v>21</v>
      </c>
      <c r="F6">
        <v>8</v>
      </c>
      <c r="G6">
        <v>4953</v>
      </c>
      <c r="H6">
        <f t="shared" si="0"/>
        <v>39624</v>
      </c>
    </row>
    <row r="7" spans="1:8" x14ac:dyDescent="0.25">
      <c r="A7">
        <v>6</v>
      </c>
      <c r="B7" s="3">
        <v>40184</v>
      </c>
      <c r="C7" t="s">
        <v>11</v>
      </c>
      <c r="D7" t="s">
        <v>15</v>
      </c>
      <c r="E7" t="s">
        <v>21</v>
      </c>
      <c r="F7">
        <v>18</v>
      </c>
      <c r="G7">
        <v>4088</v>
      </c>
      <c r="H7">
        <f t="shared" si="0"/>
        <v>73584</v>
      </c>
    </row>
    <row r="8" spans="1:8" x14ac:dyDescent="0.25">
      <c r="A8">
        <v>7</v>
      </c>
      <c r="B8" s="3">
        <v>40185</v>
      </c>
      <c r="C8" t="s">
        <v>14</v>
      </c>
      <c r="D8" t="s">
        <v>16</v>
      </c>
      <c r="E8" t="s">
        <v>21</v>
      </c>
      <c r="F8">
        <v>15</v>
      </c>
      <c r="G8">
        <v>2531</v>
      </c>
      <c r="H8">
        <f t="shared" si="0"/>
        <v>37965</v>
      </c>
    </row>
    <row r="9" spans="1:8" x14ac:dyDescent="0.25">
      <c r="A9">
        <v>8</v>
      </c>
      <c r="B9" s="3">
        <v>40186</v>
      </c>
      <c r="C9" t="s">
        <v>10</v>
      </c>
      <c r="D9" t="s">
        <v>17</v>
      </c>
      <c r="E9" t="s">
        <v>21</v>
      </c>
      <c r="F9">
        <v>13</v>
      </c>
      <c r="G9">
        <v>4716</v>
      </c>
      <c r="H9">
        <f t="shared" si="0"/>
        <v>61308</v>
      </c>
    </row>
    <row r="10" spans="1:8" x14ac:dyDescent="0.25">
      <c r="A10">
        <v>9</v>
      </c>
      <c r="B10" s="3">
        <v>40187</v>
      </c>
      <c r="C10" t="s">
        <v>8</v>
      </c>
      <c r="D10" t="s">
        <v>18</v>
      </c>
      <c r="E10" t="s">
        <v>21</v>
      </c>
      <c r="F10">
        <v>11</v>
      </c>
      <c r="G10">
        <v>2806</v>
      </c>
      <c r="H10">
        <f t="shared" si="0"/>
        <v>30866</v>
      </c>
    </row>
    <row r="11" spans="1:8" x14ac:dyDescent="0.25">
      <c r="A11">
        <v>10</v>
      </c>
      <c r="B11" s="3">
        <v>40188</v>
      </c>
      <c r="C11" t="s">
        <v>8</v>
      </c>
      <c r="D11" t="s">
        <v>19</v>
      </c>
      <c r="E11" t="s">
        <v>21</v>
      </c>
      <c r="F11">
        <v>5</v>
      </c>
      <c r="G11">
        <v>3350</v>
      </c>
      <c r="H11">
        <f t="shared" si="0"/>
        <v>16750</v>
      </c>
    </row>
    <row r="12" spans="1:8" x14ac:dyDescent="0.25">
      <c r="A12">
        <v>11</v>
      </c>
      <c r="B12" s="3">
        <v>40184</v>
      </c>
      <c r="C12" t="s">
        <v>11</v>
      </c>
      <c r="D12" t="s">
        <v>15</v>
      </c>
      <c r="E12" t="s">
        <v>21</v>
      </c>
      <c r="F12">
        <v>18</v>
      </c>
      <c r="G12">
        <v>4088</v>
      </c>
      <c r="H12">
        <f t="shared" ref="H12:H16" si="1">F12*G12</f>
        <v>73584</v>
      </c>
    </row>
    <row r="13" spans="1:8" x14ac:dyDescent="0.25">
      <c r="A13">
        <v>12</v>
      </c>
      <c r="B13" s="3">
        <v>40185</v>
      </c>
      <c r="C13" t="s">
        <v>14</v>
      </c>
      <c r="D13" t="s">
        <v>16</v>
      </c>
      <c r="E13" t="s">
        <v>21</v>
      </c>
      <c r="F13">
        <v>15</v>
      </c>
      <c r="G13">
        <v>2531</v>
      </c>
      <c r="H13">
        <f t="shared" si="1"/>
        <v>37965</v>
      </c>
    </row>
    <row r="14" spans="1:8" x14ac:dyDescent="0.25">
      <c r="A14">
        <v>13</v>
      </c>
      <c r="B14" s="3">
        <v>40186</v>
      </c>
      <c r="C14" t="s">
        <v>10</v>
      </c>
      <c r="D14" t="s">
        <v>17</v>
      </c>
      <c r="E14" t="s">
        <v>21</v>
      </c>
      <c r="F14">
        <v>13</v>
      </c>
      <c r="G14">
        <v>4716</v>
      </c>
      <c r="H14">
        <f t="shared" si="1"/>
        <v>61308</v>
      </c>
    </row>
    <row r="15" spans="1:8" x14ac:dyDescent="0.25">
      <c r="A15">
        <v>14</v>
      </c>
      <c r="B15" s="3">
        <v>40187</v>
      </c>
      <c r="C15" t="s">
        <v>8</v>
      </c>
      <c r="D15" t="s">
        <v>18</v>
      </c>
      <c r="E15" t="s">
        <v>21</v>
      </c>
      <c r="F15">
        <v>11</v>
      </c>
      <c r="G15">
        <v>2806</v>
      </c>
      <c r="H15">
        <f t="shared" si="1"/>
        <v>30866</v>
      </c>
    </row>
    <row r="16" spans="1:8" x14ac:dyDescent="0.25">
      <c r="A16">
        <v>15</v>
      </c>
      <c r="B16" s="3">
        <v>40188</v>
      </c>
      <c r="C16" t="s">
        <v>8</v>
      </c>
      <c r="D16" t="s">
        <v>19</v>
      </c>
      <c r="E16" t="s">
        <v>21</v>
      </c>
      <c r="F16">
        <v>5</v>
      </c>
      <c r="G16">
        <v>3350</v>
      </c>
      <c r="H16">
        <f t="shared" si="1"/>
        <v>16750</v>
      </c>
    </row>
    <row r="17" spans="1:8" x14ac:dyDescent="0.25">
      <c r="A17">
        <v>16</v>
      </c>
      <c r="B17" s="3">
        <v>40179</v>
      </c>
      <c r="C17" t="s">
        <v>11</v>
      </c>
      <c r="D17" t="s">
        <v>15</v>
      </c>
      <c r="E17" t="s">
        <v>21</v>
      </c>
      <c r="F17">
        <v>11</v>
      </c>
      <c r="G17">
        <v>2300</v>
      </c>
      <c r="H17">
        <f>F17*G17</f>
        <v>25300</v>
      </c>
    </row>
    <row r="18" spans="1:8" x14ac:dyDescent="0.25">
      <c r="A18">
        <v>17</v>
      </c>
      <c r="B18" s="3">
        <v>40180</v>
      </c>
      <c r="C18" t="s">
        <v>14</v>
      </c>
      <c r="D18" t="s">
        <v>16</v>
      </c>
      <c r="E18" t="s">
        <v>21</v>
      </c>
      <c r="F18">
        <v>12</v>
      </c>
      <c r="G18">
        <v>3200</v>
      </c>
      <c r="H18">
        <f t="shared" ref="H18:H21" si="2">F18*G18</f>
        <v>38400</v>
      </c>
    </row>
    <row r="19" spans="1:8" x14ac:dyDescent="0.25">
      <c r="A19">
        <v>18</v>
      </c>
      <c r="B19" s="3">
        <v>40181</v>
      </c>
      <c r="C19" t="s">
        <v>10</v>
      </c>
      <c r="D19" t="s">
        <v>17</v>
      </c>
      <c r="E19" t="s">
        <v>21</v>
      </c>
      <c r="F19">
        <v>13</v>
      </c>
      <c r="G19">
        <v>4100</v>
      </c>
      <c r="H19">
        <f t="shared" si="2"/>
        <v>53300</v>
      </c>
    </row>
    <row r="20" spans="1:8" x14ac:dyDescent="0.25">
      <c r="A20">
        <v>19</v>
      </c>
      <c r="B20" s="3">
        <v>40182</v>
      </c>
      <c r="C20" t="s">
        <v>8</v>
      </c>
      <c r="D20" t="s">
        <v>18</v>
      </c>
      <c r="E20" t="s">
        <v>21</v>
      </c>
      <c r="F20">
        <v>14</v>
      </c>
      <c r="G20">
        <v>3500</v>
      </c>
      <c r="H20">
        <f t="shared" si="2"/>
        <v>49000</v>
      </c>
    </row>
    <row r="21" spans="1:8" x14ac:dyDescent="0.25">
      <c r="A21">
        <v>20</v>
      </c>
      <c r="B21" s="3">
        <v>40183</v>
      </c>
      <c r="C21" t="s">
        <v>8</v>
      </c>
      <c r="D21" t="s">
        <v>19</v>
      </c>
      <c r="E21" t="s">
        <v>21</v>
      </c>
      <c r="F21">
        <v>15</v>
      </c>
      <c r="G21">
        <v>4800</v>
      </c>
      <c r="H21">
        <f t="shared" si="2"/>
        <v>72000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22"/>
  <sheetViews>
    <sheetView workbookViewId="0">
      <selection activeCell="A2" sqref="A2:H22"/>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s="2" t="s">
        <v>7</v>
      </c>
      <c r="B1" s="2" t="s">
        <v>0</v>
      </c>
      <c r="C1" s="2" t="s">
        <v>1</v>
      </c>
      <c r="D1" s="2" t="s">
        <v>2</v>
      </c>
      <c r="E1" s="2" t="s">
        <v>3</v>
      </c>
      <c r="F1" s="2" t="s">
        <v>4</v>
      </c>
      <c r="G1" s="2" t="s">
        <v>5</v>
      </c>
      <c r="H1" s="2" t="s">
        <v>6</v>
      </c>
    </row>
    <row r="2" spans="1:8" x14ac:dyDescent="0.25">
      <c r="A2">
        <v>1</v>
      </c>
      <c r="B2" s="3">
        <v>40179</v>
      </c>
      <c r="C2" t="s">
        <v>13</v>
      </c>
      <c r="D2" t="s">
        <v>15</v>
      </c>
      <c r="E2" t="s">
        <v>22</v>
      </c>
      <c r="F2">
        <v>5</v>
      </c>
      <c r="G2">
        <v>3270</v>
      </c>
      <c r="H2">
        <f>F2*G2</f>
        <v>16350</v>
      </c>
    </row>
    <row r="3" spans="1:8" x14ac:dyDescent="0.25">
      <c r="A3">
        <v>2</v>
      </c>
      <c r="B3" s="3">
        <v>40180</v>
      </c>
      <c r="C3" t="s">
        <v>12</v>
      </c>
      <c r="D3" t="s">
        <v>16</v>
      </c>
      <c r="E3" t="s">
        <v>22</v>
      </c>
      <c r="F3">
        <v>17</v>
      </c>
      <c r="G3">
        <v>4245</v>
      </c>
      <c r="H3">
        <f t="shared" ref="H3:H11" si="0">F3*G3</f>
        <v>72165</v>
      </c>
    </row>
    <row r="4" spans="1:8" x14ac:dyDescent="0.25">
      <c r="A4">
        <v>3</v>
      </c>
      <c r="B4" s="3">
        <v>40181</v>
      </c>
      <c r="C4" t="s">
        <v>13</v>
      </c>
      <c r="D4" t="s">
        <v>17</v>
      </c>
      <c r="E4" t="s">
        <v>22</v>
      </c>
      <c r="F4">
        <v>5</v>
      </c>
      <c r="G4">
        <v>4864</v>
      </c>
      <c r="H4">
        <f t="shared" si="0"/>
        <v>24320</v>
      </c>
    </row>
    <row r="5" spans="1:8" x14ac:dyDescent="0.25">
      <c r="A5">
        <v>4</v>
      </c>
      <c r="B5" s="3">
        <v>40182</v>
      </c>
      <c r="C5" t="s">
        <v>13</v>
      </c>
      <c r="D5" t="s">
        <v>18</v>
      </c>
      <c r="E5" t="s">
        <v>22</v>
      </c>
      <c r="F5">
        <v>6</v>
      </c>
      <c r="G5">
        <v>2381</v>
      </c>
      <c r="H5">
        <f t="shared" si="0"/>
        <v>14286</v>
      </c>
    </row>
    <row r="6" spans="1:8" x14ac:dyDescent="0.25">
      <c r="A6">
        <v>5</v>
      </c>
      <c r="B6" s="3">
        <v>40183</v>
      </c>
      <c r="C6" t="s">
        <v>11</v>
      </c>
      <c r="D6" t="s">
        <v>19</v>
      </c>
      <c r="E6" t="s">
        <v>22</v>
      </c>
      <c r="F6">
        <v>10</v>
      </c>
      <c r="G6">
        <v>3503</v>
      </c>
      <c r="H6">
        <f t="shared" si="0"/>
        <v>35030</v>
      </c>
    </row>
    <row r="7" spans="1:8" x14ac:dyDescent="0.25">
      <c r="A7">
        <v>6</v>
      </c>
      <c r="B7" s="3">
        <v>40184</v>
      </c>
      <c r="C7" t="s">
        <v>13</v>
      </c>
      <c r="D7" t="s">
        <v>15</v>
      </c>
      <c r="E7" t="s">
        <v>22</v>
      </c>
      <c r="F7">
        <v>5</v>
      </c>
      <c r="G7">
        <v>3176</v>
      </c>
      <c r="H7">
        <f t="shared" si="0"/>
        <v>15880</v>
      </c>
    </row>
    <row r="8" spans="1:8" x14ac:dyDescent="0.25">
      <c r="A8">
        <v>7</v>
      </c>
      <c r="B8" s="3">
        <v>40185</v>
      </c>
      <c r="C8" t="s">
        <v>12</v>
      </c>
      <c r="D8" t="s">
        <v>16</v>
      </c>
      <c r="E8" t="s">
        <v>22</v>
      </c>
      <c r="F8">
        <v>12</v>
      </c>
      <c r="G8">
        <v>4192</v>
      </c>
      <c r="H8">
        <f t="shared" si="0"/>
        <v>50304</v>
      </c>
    </row>
    <row r="9" spans="1:8" x14ac:dyDescent="0.25">
      <c r="A9">
        <v>8</v>
      </c>
      <c r="B9" s="3">
        <v>40186</v>
      </c>
      <c r="C9" t="s">
        <v>13</v>
      </c>
      <c r="D9" t="s">
        <v>17</v>
      </c>
      <c r="E9" t="s">
        <v>22</v>
      </c>
      <c r="F9">
        <v>2</v>
      </c>
      <c r="G9">
        <v>4793</v>
      </c>
      <c r="H9">
        <f t="shared" si="0"/>
        <v>9586</v>
      </c>
    </row>
    <row r="10" spans="1:8" x14ac:dyDescent="0.25">
      <c r="A10">
        <v>9</v>
      </c>
      <c r="B10" s="3">
        <v>40187</v>
      </c>
      <c r="C10" t="s">
        <v>13</v>
      </c>
      <c r="D10" t="s">
        <v>18</v>
      </c>
      <c r="E10" t="s">
        <v>22</v>
      </c>
      <c r="F10">
        <v>5</v>
      </c>
      <c r="G10">
        <v>2204</v>
      </c>
      <c r="H10">
        <f t="shared" si="0"/>
        <v>11020</v>
      </c>
    </row>
    <row r="11" spans="1:8" x14ac:dyDescent="0.25">
      <c r="A11">
        <v>10</v>
      </c>
      <c r="B11" s="3">
        <v>40188</v>
      </c>
      <c r="C11" t="s">
        <v>11</v>
      </c>
      <c r="D11" t="s">
        <v>19</v>
      </c>
      <c r="E11" t="s">
        <v>22</v>
      </c>
      <c r="F11">
        <v>18</v>
      </c>
      <c r="G11">
        <v>4183</v>
      </c>
      <c r="H11">
        <f t="shared" si="0"/>
        <v>75294</v>
      </c>
    </row>
    <row r="12" spans="1:8" x14ac:dyDescent="0.25">
      <c r="A12">
        <v>11</v>
      </c>
      <c r="B12" s="3">
        <v>40183</v>
      </c>
      <c r="C12" t="s">
        <v>11</v>
      </c>
      <c r="D12" t="s">
        <v>19</v>
      </c>
      <c r="E12" t="s">
        <v>22</v>
      </c>
      <c r="F12">
        <v>10</v>
      </c>
      <c r="G12">
        <v>3503</v>
      </c>
      <c r="H12">
        <f t="shared" ref="H12:H17" si="1">F12*G12</f>
        <v>35030</v>
      </c>
    </row>
    <row r="13" spans="1:8" x14ac:dyDescent="0.25">
      <c r="A13">
        <v>12</v>
      </c>
      <c r="B13" s="3">
        <v>40184</v>
      </c>
      <c r="C13" t="s">
        <v>13</v>
      </c>
      <c r="D13" t="s">
        <v>15</v>
      </c>
      <c r="E13" t="s">
        <v>22</v>
      </c>
      <c r="F13">
        <v>5</v>
      </c>
      <c r="G13">
        <v>3176</v>
      </c>
      <c r="H13">
        <f t="shared" si="1"/>
        <v>15880</v>
      </c>
    </row>
    <row r="14" spans="1:8" x14ac:dyDescent="0.25">
      <c r="A14">
        <v>13</v>
      </c>
      <c r="B14" s="3">
        <v>40185</v>
      </c>
      <c r="C14" t="s">
        <v>12</v>
      </c>
      <c r="D14" t="s">
        <v>16</v>
      </c>
      <c r="E14" t="s">
        <v>22</v>
      </c>
      <c r="F14">
        <v>12</v>
      </c>
      <c r="G14">
        <v>4192</v>
      </c>
      <c r="H14">
        <f t="shared" si="1"/>
        <v>50304</v>
      </c>
    </row>
    <row r="15" spans="1:8" x14ac:dyDescent="0.25">
      <c r="A15">
        <v>14</v>
      </c>
      <c r="B15" s="3">
        <v>40186</v>
      </c>
      <c r="C15" t="s">
        <v>13</v>
      </c>
      <c r="D15" t="s">
        <v>17</v>
      </c>
      <c r="E15" t="s">
        <v>22</v>
      </c>
      <c r="F15">
        <v>2</v>
      </c>
      <c r="G15">
        <v>4793</v>
      </c>
      <c r="H15">
        <f t="shared" si="1"/>
        <v>9586</v>
      </c>
    </row>
    <row r="16" spans="1:8" x14ac:dyDescent="0.25">
      <c r="A16">
        <v>15</v>
      </c>
      <c r="B16" s="3">
        <v>40187</v>
      </c>
      <c r="C16" t="s">
        <v>13</v>
      </c>
      <c r="D16" t="s">
        <v>18</v>
      </c>
      <c r="E16" t="s">
        <v>22</v>
      </c>
      <c r="F16">
        <v>5</v>
      </c>
      <c r="G16">
        <v>2204</v>
      </c>
      <c r="H16">
        <f t="shared" si="1"/>
        <v>11020</v>
      </c>
    </row>
    <row r="17" spans="1:8" x14ac:dyDescent="0.25">
      <c r="A17">
        <v>16</v>
      </c>
      <c r="B17" s="3">
        <v>40188</v>
      </c>
      <c r="C17" t="s">
        <v>11</v>
      </c>
      <c r="D17" t="s">
        <v>19</v>
      </c>
      <c r="E17" t="s">
        <v>22</v>
      </c>
      <c r="F17">
        <v>18</v>
      </c>
      <c r="G17">
        <v>4183</v>
      </c>
      <c r="H17">
        <f t="shared" si="1"/>
        <v>75294</v>
      </c>
    </row>
    <row r="18" spans="1:8" x14ac:dyDescent="0.25">
      <c r="A18">
        <v>17</v>
      </c>
      <c r="B18" s="3">
        <v>40179</v>
      </c>
      <c r="C18" t="s">
        <v>13</v>
      </c>
      <c r="D18" t="s">
        <v>15</v>
      </c>
      <c r="E18" t="s">
        <v>22</v>
      </c>
      <c r="F18">
        <v>10</v>
      </c>
      <c r="G18">
        <v>5000</v>
      </c>
      <c r="H18">
        <f>F18*G18</f>
        <v>50000</v>
      </c>
    </row>
    <row r="19" spans="1:8" x14ac:dyDescent="0.25">
      <c r="A19">
        <v>18</v>
      </c>
      <c r="B19" s="3">
        <v>40180</v>
      </c>
      <c r="C19" t="s">
        <v>12</v>
      </c>
      <c r="D19" t="s">
        <v>16</v>
      </c>
      <c r="E19" t="s">
        <v>22</v>
      </c>
      <c r="F19">
        <v>13</v>
      </c>
      <c r="G19">
        <v>4300</v>
      </c>
      <c r="H19">
        <f t="shared" ref="H19:H22" si="2">F19*G19</f>
        <v>55900</v>
      </c>
    </row>
    <row r="20" spans="1:8" x14ac:dyDescent="0.25">
      <c r="A20">
        <v>19</v>
      </c>
      <c r="B20" s="3">
        <v>40181</v>
      </c>
      <c r="C20" t="s">
        <v>13</v>
      </c>
      <c r="D20" t="s">
        <v>17</v>
      </c>
      <c r="E20" t="s">
        <v>22</v>
      </c>
      <c r="F20">
        <v>14</v>
      </c>
      <c r="G20">
        <v>2390</v>
      </c>
      <c r="H20">
        <f t="shared" si="2"/>
        <v>33460</v>
      </c>
    </row>
    <row r="21" spans="1:8" x14ac:dyDescent="0.25">
      <c r="A21">
        <v>20</v>
      </c>
      <c r="B21" s="3">
        <v>40182</v>
      </c>
      <c r="C21" t="s">
        <v>13</v>
      </c>
      <c r="D21" t="s">
        <v>18</v>
      </c>
      <c r="E21" t="s">
        <v>22</v>
      </c>
      <c r="F21">
        <v>17</v>
      </c>
      <c r="G21">
        <v>4444</v>
      </c>
      <c r="H21">
        <f t="shared" si="2"/>
        <v>75548</v>
      </c>
    </row>
    <row r="22" spans="1:8" x14ac:dyDescent="0.25">
      <c r="A22">
        <v>21</v>
      </c>
      <c r="B22" s="3">
        <v>40183</v>
      </c>
      <c r="C22" t="s">
        <v>11</v>
      </c>
      <c r="D22" t="s">
        <v>19</v>
      </c>
      <c r="E22" t="s">
        <v>22</v>
      </c>
      <c r="F22">
        <v>19</v>
      </c>
      <c r="G22">
        <v>3322</v>
      </c>
      <c r="H22">
        <f t="shared" si="2"/>
        <v>63118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G21"/>
  <sheetViews>
    <sheetView showGridLines="0" workbookViewId="0"/>
  </sheetViews>
  <sheetFormatPr defaultRowHeight="15" x14ac:dyDescent="0.25"/>
  <cols>
    <col min="1" max="1" width="9.140625" style="1"/>
    <col min="2" max="2" width="7.85546875" bestFit="1" customWidth="1"/>
    <col min="3" max="4" width="9.5703125" bestFit="1" customWidth="1"/>
  </cols>
  <sheetData>
    <row r="2" spans="1:4" x14ac:dyDescent="0.25">
      <c r="B2" t="s">
        <v>25</v>
      </c>
    </row>
    <row r="3" spans="1:4" x14ac:dyDescent="0.25">
      <c r="B3" t="s">
        <v>26</v>
      </c>
    </row>
    <row r="4" spans="1:4" x14ac:dyDescent="0.25">
      <c r="B4" t="s">
        <v>27</v>
      </c>
    </row>
    <row r="5" spans="1:4" x14ac:dyDescent="0.25">
      <c r="B5" t="s">
        <v>28</v>
      </c>
    </row>
    <row r="6" spans="1:4" x14ac:dyDescent="0.25">
      <c r="B6" t="s">
        <v>35</v>
      </c>
    </row>
    <row r="7" spans="1:4" x14ac:dyDescent="0.25">
      <c r="B7" t="s">
        <v>36</v>
      </c>
    </row>
    <row r="8" spans="1:4" x14ac:dyDescent="0.25">
      <c r="B8" t="s">
        <v>37</v>
      </c>
    </row>
    <row r="9" spans="1:4" x14ac:dyDescent="0.25">
      <c r="B9" t="s">
        <v>29</v>
      </c>
    </row>
    <row r="10" spans="1:4" ht="15.75" x14ac:dyDescent="0.25">
      <c r="B10" s="6" t="s">
        <v>38</v>
      </c>
      <c r="C10" s="6"/>
    </row>
    <row r="11" spans="1:4" ht="15.75" x14ac:dyDescent="0.25">
      <c r="B11" s="6" t="s">
        <v>39</v>
      </c>
      <c r="C11" s="6"/>
    </row>
    <row r="12" spans="1:4" ht="15.75" x14ac:dyDescent="0.25">
      <c r="B12" s="6"/>
      <c r="C12" s="6"/>
    </row>
    <row r="13" spans="1:4" ht="15.75" x14ac:dyDescent="0.25">
      <c r="B13" s="10" t="s">
        <v>34</v>
      </c>
      <c r="C13" s="6"/>
    </row>
    <row r="15" spans="1:4" x14ac:dyDescent="0.25">
      <c r="A15" s="1">
        <v>1</v>
      </c>
      <c r="B15" s="7" t="s">
        <v>3</v>
      </c>
      <c r="C15" s="7" t="s">
        <v>23</v>
      </c>
      <c r="D15" s="8"/>
    </row>
    <row r="16" spans="1:4" x14ac:dyDescent="0.25">
      <c r="A16" s="1">
        <v>2</v>
      </c>
      <c r="B16" s="9" t="s">
        <v>1</v>
      </c>
      <c r="C16" s="7" t="s">
        <v>23</v>
      </c>
      <c r="D16" s="8"/>
    </row>
    <row r="17" spans="1:7" x14ac:dyDescent="0.25">
      <c r="A17" s="1">
        <v>3</v>
      </c>
      <c r="B17" s="7" t="s">
        <v>3</v>
      </c>
      <c r="C17" s="9" t="s">
        <v>1</v>
      </c>
      <c r="D17" s="7" t="s">
        <v>4</v>
      </c>
    </row>
    <row r="18" spans="1:7" x14ac:dyDescent="0.25">
      <c r="A18" s="1">
        <v>4</v>
      </c>
      <c r="B18" s="9" t="s">
        <v>0</v>
      </c>
      <c r="C18" s="7" t="s">
        <v>1</v>
      </c>
      <c r="D18" s="7" t="s">
        <v>23</v>
      </c>
      <c r="F18" s="5"/>
      <c r="G18" t="s">
        <v>30</v>
      </c>
    </row>
    <row r="21" spans="1:7" x14ac:dyDescent="0.25">
      <c r="A21" s="4" t="s">
        <v>24</v>
      </c>
      <c r="B21" t="s">
        <v>31</v>
      </c>
      <c r="C21" t="s">
        <v>32</v>
      </c>
      <c r="D21" t="s">
        <v>33</v>
      </c>
      <c r="E21" t="s">
        <v>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RPT (4)</vt:lpstr>
      <vt:lpstr>RPT (3)</vt:lpstr>
      <vt:lpstr>RPT (2)</vt:lpstr>
      <vt:lpstr>RPT</vt: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Supratim Biswas</cp:lastModifiedBy>
  <dcterms:created xsi:type="dcterms:W3CDTF">2020-07-03T08:10:56Z</dcterms:created>
  <dcterms:modified xsi:type="dcterms:W3CDTF">2020-10-19T13:58:31Z</dcterms:modified>
</cp:coreProperties>
</file>